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meer\Water_budgeting\Supply\"/>
    </mc:Choice>
  </mc:AlternateContent>
  <xr:revisionPtr revIDLastSave="0" documentId="13_ncr:1_{3C4EBC4E-0DE4-4642-B6B4-22C71F9B2674}" xr6:coauthVersionLast="47" xr6:coauthVersionMax="47" xr10:uidLastSave="{00000000-0000-0000-0000-000000000000}"/>
  <bookViews>
    <workbookView xWindow="-120" yWindow="-120" windowWidth="29040" windowHeight="15720" activeTab="1" xr2:uid="{4503C020-ADA8-4E34-8297-5180E3E55503}"/>
  </bookViews>
  <sheets>
    <sheet name="Odogaon" sheetId="1" r:id="rId1"/>
    <sheet name="Odogaon_22" sheetId="3" r:id="rId2"/>
    <sheet name="Odogaon_33" sheetId="4" r:id="rId3"/>
    <sheet name="Daspalla" sheetId="2" r:id="rId4"/>
    <sheet name="Daspalla_22" sheetId="6" r:id="rId5"/>
    <sheet name="Daspalla_33" sheetId="10" r:id="rId6"/>
  </sheets>
  <definedNames>
    <definedName name="_xlnm._FilterDatabase" localSheetId="1" hidden="1">Odogaon_22!$A$1:$U$297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8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3" i="3"/>
  <c r="AF9" i="3"/>
  <c r="AC9" i="3"/>
  <c r="AD9" i="3"/>
  <c r="I304" i="3" l="1"/>
  <c r="I303" i="3"/>
  <c r="AI24" i="3"/>
  <c r="AH24" i="3"/>
  <c r="AG24" i="3"/>
  <c r="AF24" i="3"/>
  <c r="AE24" i="3"/>
  <c r="L158" i="10"/>
  <c r="F164" i="6"/>
  <c r="O164" i="6" s="1"/>
  <c r="N164" i="10" s="1"/>
  <c r="F163" i="6"/>
  <c r="M163" i="6" s="1"/>
  <c r="L163" i="10" s="1"/>
  <c r="F162" i="6"/>
  <c r="F161" i="6"/>
  <c r="F160" i="6"/>
  <c r="N160" i="6" s="1"/>
  <c r="M160" i="10" s="1"/>
  <c r="F159" i="6"/>
  <c r="O159" i="6" s="1"/>
  <c r="N159" i="10" s="1"/>
  <c r="F158" i="6"/>
  <c r="M158" i="6" s="1"/>
  <c r="I297" i="3"/>
  <c r="I296" i="3"/>
  <c r="I295" i="3"/>
  <c r="I294" i="3"/>
  <c r="I293" i="3"/>
  <c r="I292" i="3"/>
  <c r="I291" i="3"/>
  <c r="I290" i="3"/>
  <c r="I289" i="3"/>
  <c r="I288" i="3"/>
  <c r="I287" i="3"/>
  <c r="I286" i="3"/>
  <c r="I3" i="3"/>
  <c r="P290" i="3" l="1"/>
  <c r="Q291" i="3"/>
  <c r="O292" i="3"/>
  <c r="O294" i="3"/>
  <c r="S3" i="3"/>
  <c r="O296" i="3"/>
  <c r="P297" i="3"/>
  <c r="R292" i="3"/>
  <c r="S294" i="3"/>
  <c r="O290" i="3"/>
  <c r="O297" i="3"/>
  <c r="S296" i="3"/>
  <c r="P296" i="3"/>
  <c r="R294" i="3"/>
  <c r="Q294" i="3"/>
  <c r="P294" i="3"/>
  <c r="S292" i="3"/>
  <c r="P292" i="3"/>
  <c r="S291" i="3"/>
  <c r="R291" i="3"/>
  <c r="S290" i="3"/>
  <c r="R290" i="3"/>
  <c r="O286" i="3"/>
  <c r="P286" i="3"/>
  <c r="R286" i="3"/>
  <c r="S286" i="3"/>
  <c r="Q286" i="3"/>
  <c r="O289" i="3"/>
  <c r="P289" i="3"/>
  <c r="Q289" i="3"/>
  <c r="R295" i="3"/>
  <c r="S289" i="3"/>
  <c r="R289" i="3"/>
  <c r="O287" i="3"/>
  <c r="Q287" i="3"/>
  <c r="R287" i="3"/>
  <c r="P287" i="3"/>
  <c r="S287" i="3"/>
  <c r="Q288" i="3"/>
  <c r="R288" i="3"/>
  <c r="S288" i="3"/>
  <c r="Q295" i="3"/>
  <c r="O295" i="3"/>
  <c r="P295" i="3"/>
  <c r="S295" i="3"/>
  <c r="P288" i="3"/>
  <c r="O288" i="3"/>
  <c r="O3" i="3"/>
  <c r="P3" i="3"/>
  <c r="Q3" i="3"/>
  <c r="R3" i="3"/>
  <c r="R296" i="3"/>
  <c r="P293" i="3"/>
  <c r="R293" i="3"/>
  <c r="O293" i="3"/>
  <c r="Q293" i="3"/>
  <c r="S293" i="3"/>
  <c r="Q290" i="3"/>
  <c r="Q296" i="3"/>
  <c r="Q292" i="3"/>
  <c r="O291" i="3"/>
  <c r="P291" i="3"/>
  <c r="R297" i="3"/>
  <c r="S297" i="3"/>
  <c r="Q297" i="3"/>
  <c r="P161" i="6"/>
  <c r="O161" i="10" s="1"/>
  <c r="O161" i="6"/>
  <c r="N161" i="10" s="1"/>
  <c r="P162" i="6"/>
  <c r="O162" i="10" s="1"/>
  <c r="M162" i="6"/>
  <c r="L162" i="10" s="1"/>
  <c r="N162" i="6"/>
  <c r="M162" i="10" s="1"/>
  <c r="Q162" i="6"/>
  <c r="P162" i="10" s="1"/>
  <c r="O162" i="6"/>
  <c r="N162" i="10" s="1"/>
  <c r="N161" i="6"/>
  <c r="M161" i="10" s="1"/>
  <c r="M161" i="6"/>
  <c r="L161" i="10" s="1"/>
  <c r="Q160" i="6"/>
  <c r="P160" i="10" s="1"/>
  <c r="N159" i="6"/>
  <c r="M159" i="10" s="1"/>
  <c r="M159" i="6"/>
  <c r="L159" i="10" s="1"/>
  <c r="L169" i="10" s="1"/>
  <c r="Q164" i="6"/>
  <c r="P164" i="10" s="1"/>
  <c r="P164" i="6"/>
  <c r="O164" i="10" s="1"/>
  <c r="N164" i="6"/>
  <c r="M164" i="10" s="1"/>
  <c r="M164" i="6"/>
  <c r="L164" i="10" s="1"/>
  <c r="Q163" i="6"/>
  <c r="P163" i="10" s="1"/>
  <c r="P163" i="6"/>
  <c r="O163" i="10" s="1"/>
  <c r="M160" i="6"/>
  <c r="L160" i="10" s="1"/>
  <c r="P160" i="6"/>
  <c r="O160" i="10" s="1"/>
  <c r="O160" i="6"/>
  <c r="N160" i="10" s="1"/>
  <c r="O163" i="6"/>
  <c r="N163" i="10" s="1"/>
  <c r="N163" i="6"/>
  <c r="M163" i="10" s="1"/>
  <c r="Q159" i="6"/>
  <c r="P159" i="10" s="1"/>
  <c r="P159" i="6"/>
  <c r="O159" i="10" s="1"/>
  <c r="Q158" i="6"/>
  <c r="P158" i="10" s="1"/>
  <c r="P158" i="6"/>
  <c r="O158" i="10" s="1"/>
  <c r="O158" i="6"/>
  <c r="N158" i="10" s="1"/>
  <c r="Q161" i="6"/>
  <c r="P161" i="10" s="1"/>
  <c r="N158" i="6"/>
  <c r="M158" i="10" s="1"/>
  <c r="P301" i="3" l="1"/>
  <c r="O301" i="3"/>
  <c r="Q301" i="3"/>
  <c r="S301" i="3"/>
  <c r="R301" i="3"/>
  <c r="O169" i="10"/>
  <c r="N169" i="10"/>
  <c r="P169" i="10"/>
  <c r="M169" i="10"/>
  <c r="AA14" i="6"/>
  <c r="AB14" i="6" s="1"/>
  <c r="AC14" i="6" s="1"/>
  <c r="AA13" i="6"/>
  <c r="AB13" i="6" s="1"/>
  <c r="AC13" i="6" s="1"/>
  <c r="AA7" i="6"/>
  <c r="AB7" i="6" s="1"/>
  <c r="AC7" i="6" s="1"/>
  <c r="AA6" i="6"/>
  <c r="AB6" i="6" s="1"/>
  <c r="AC6" i="6" s="1"/>
  <c r="AA5" i="6"/>
  <c r="AB5" i="6" s="1"/>
  <c r="AC5" i="6" s="1"/>
  <c r="AA4" i="6"/>
  <c r="AB4" i="6" s="1"/>
  <c r="AC4" i="6" s="1"/>
  <c r="AA3" i="6"/>
  <c r="AB3" i="6" s="1"/>
  <c r="AC3" i="6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3" i="6"/>
  <c r="O3" i="6" s="1"/>
  <c r="N3" i="10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AC15" i="3"/>
  <c r="AD15" i="3" s="1"/>
  <c r="AE15" i="3" s="1"/>
  <c r="AC14" i="3"/>
  <c r="AD14" i="3" s="1"/>
  <c r="AC8" i="3"/>
  <c r="AD8" i="3" s="1"/>
  <c r="AE8" i="3" s="1"/>
  <c r="AC7" i="3"/>
  <c r="AD7" i="3" s="1"/>
  <c r="AE7" i="3" s="1"/>
  <c r="AC6" i="3"/>
  <c r="AD6" i="3" s="1"/>
  <c r="AE6" i="3" s="1"/>
  <c r="AC5" i="3"/>
  <c r="AD5" i="3" s="1"/>
  <c r="AE5" i="3" s="1"/>
  <c r="AC4" i="3"/>
  <c r="AD4" i="3" s="1"/>
  <c r="AE4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2" i="2"/>
  <c r="S203" i="3" l="1"/>
  <c r="Q203" i="3"/>
  <c r="R203" i="3"/>
  <c r="O203" i="3"/>
  <c r="P203" i="3"/>
  <c r="S83" i="3"/>
  <c r="R83" i="3"/>
  <c r="O83" i="3"/>
  <c r="P83" i="3"/>
  <c r="Q83" i="3"/>
  <c r="O274" i="3"/>
  <c r="Q274" i="3"/>
  <c r="R274" i="3"/>
  <c r="P274" i="3"/>
  <c r="S274" i="3"/>
  <c r="R226" i="3"/>
  <c r="O226" i="3"/>
  <c r="Q226" i="3"/>
  <c r="P226" i="3"/>
  <c r="S226" i="3"/>
  <c r="Q202" i="3"/>
  <c r="O202" i="3"/>
  <c r="P202" i="3"/>
  <c r="S202" i="3"/>
  <c r="R202" i="3"/>
  <c r="R154" i="3"/>
  <c r="P154" i="3"/>
  <c r="Q154" i="3"/>
  <c r="O154" i="3"/>
  <c r="S154" i="3"/>
  <c r="R106" i="3"/>
  <c r="P106" i="3"/>
  <c r="O106" i="3"/>
  <c r="Q106" i="3"/>
  <c r="S106" i="3"/>
  <c r="R82" i="3"/>
  <c r="S82" i="3"/>
  <c r="O82" i="3"/>
  <c r="P82" i="3"/>
  <c r="Q82" i="3"/>
  <c r="R34" i="3"/>
  <c r="O34" i="3"/>
  <c r="P34" i="3"/>
  <c r="Q34" i="3"/>
  <c r="S34" i="3"/>
  <c r="R10" i="3"/>
  <c r="O10" i="3"/>
  <c r="Q10" i="3"/>
  <c r="S10" i="3"/>
  <c r="P10" i="3"/>
  <c r="R273" i="3"/>
  <c r="O273" i="3"/>
  <c r="P273" i="3"/>
  <c r="Q273" i="3"/>
  <c r="S273" i="3"/>
  <c r="R249" i="3"/>
  <c r="O249" i="3"/>
  <c r="P249" i="3"/>
  <c r="Q249" i="3"/>
  <c r="S249" i="3"/>
  <c r="Q225" i="3"/>
  <c r="R225" i="3"/>
  <c r="S225" i="3"/>
  <c r="O225" i="3"/>
  <c r="P225" i="3"/>
  <c r="P201" i="3"/>
  <c r="S201" i="3"/>
  <c r="R201" i="3"/>
  <c r="O201" i="3"/>
  <c r="Q201" i="3"/>
  <c r="P177" i="3"/>
  <c r="S177" i="3"/>
  <c r="O177" i="3"/>
  <c r="Q177" i="3"/>
  <c r="R177" i="3"/>
  <c r="Q153" i="3"/>
  <c r="S153" i="3"/>
  <c r="R153" i="3"/>
  <c r="P153" i="3"/>
  <c r="O153" i="3"/>
  <c r="Q129" i="3"/>
  <c r="S129" i="3"/>
  <c r="O129" i="3"/>
  <c r="P129" i="3"/>
  <c r="R129" i="3"/>
  <c r="Q105" i="3"/>
  <c r="R105" i="3"/>
  <c r="O105" i="3"/>
  <c r="P105" i="3"/>
  <c r="S105" i="3"/>
  <c r="Q81" i="3"/>
  <c r="P81" i="3"/>
  <c r="R81" i="3"/>
  <c r="S81" i="3"/>
  <c r="O81" i="3"/>
  <c r="Q57" i="3"/>
  <c r="O57" i="3"/>
  <c r="P57" i="3"/>
  <c r="R57" i="3"/>
  <c r="S57" i="3"/>
  <c r="Q33" i="3"/>
  <c r="P33" i="3"/>
  <c r="R33" i="3"/>
  <c r="S33" i="3"/>
  <c r="O33" i="3"/>
  <c r="Q9" i="3"/>
  <c r="S9" i="3"/>
  <c r="P9" i="3"/>
  <c r="O9" i="3"/>
  <c r="R9" i="3"/>
  <c r="Q272" i="3"/>
  <c r="S272" i="3"/>
  <c r="R272" i="3"/>
  <c r="O272" i="3"/>
  <c r="P272" i="3"/>
  <c r="P248" i="3"/>
  <c r="Q248" i="3"/>
  <c r="O248" i="3"/>
  <c r="S248" i="3"/>
  <c r="R248" i="3"/>
  <c r="Q224" i="3"/>
  <c r="S224" i="3"/>
  <c r="O224" i="3"/>
  <c r="R224" i="3"/>
  <c r="P224" i="3"/>
  <c r="S200" i="3"/>
  <c r="P200" i="3"/>
  <c r="Q200" i="3"/>
  <c r="O200" i="3"/>
  <c r="R200" i="3"/>
  <c r="O176" i="3"/>
  <c r="Q176" i="3"/>
  <c r="R176" i="3"/>
  <c r="P176" i="3"/>
  <c r="S176" i="3"/>
  <c r="P152" i="3"/>
  <c r="O152" i="3"/>
  <c r="S152" i="3"/>
  <c r="Q152" i="3"/>
  <c r="R152" i="3"/>
  <c r="P128" i="3"/>
  <c r="Q128" i="3"/>
  <c r="R128" i="3"/>
  <c r="S128" i="3"/>
  <c r="O128" i="3"/>
  <c r="P104" i="3"/>
  <c r="Q104" i="3"/>
  <c r="R104" i="3"/>
  <c r="O104" i="3"/>
  <c r="S104" i="3"/>
  <c r="P80" i="3"/>
  <c r="R80" i="3"/>
  <c r="O80" i="3"/>
  <c r="S80" i="3"/>
  <c r="Q80" i="3"/>
  <c r="P56" i="3"/>
  <c r="Q56" i="3"/>
  <c r="O56" i="3"/>
  <c r="S56" i="3"/>
  <c r="R56" i="3"/>
  <c r="P32" i="3"/>
  <c r="S32" i="3"/>
  <c r="O32" i="3"/>
  <c r="Q32" i="3"/>
  <c r="R32" i="3"/>
  <c r="P8" i="3"/>
  <c r="R8" i="3"/>
  <c r="Q8" i="3"/>
  <c r="O8" i="3"/>
  <c r="S8" i="3"/>
  <c r="Q271" i="3"/>
  <c r="S271" i="3"/>
  <c r="O271" i="3"/>
  <c r="P271" i="3"/>
  <c r="R271" i="3"/>
  <c r="Q247" i="3"/>
  <c r="P247" i="3"/>
  <c r="O247" i="3"/>
  <c r="R247" i="3"/>
  <c r="S247" i="3"/>
  <c r="P223" i="3"/>
  <c r="S223" i="3"/>
  <c r="O223" i="3"/>
  <c r="Q223" i="3"/>
  <c r="R223" i="3"/>
  <c r="O199" i="3"/>
  <c r="P199" i="3"/>
  <c r="Q199" i="3"/>
  <c r="S199" i="3"/>
  <c r="R199" i="3"/>
  <c r="P175" i="3"/>
  <c r="Q175" i="3"/>
  <c r="R175" i="3"/>
  <c r="S175" i="3"/>
  <c r="O175" i="3"/>
  <c r="O151" i="3"/>
  <c r="R151" i="3"/>
  <c r="P151" i="3"/>
  <c r="S151" i="3"/>
  <c r="Q151" i="3"/>
  <c r="O127" i="3"/>
  <c r="S127" i="3"/>
  <c r="P127" i="3"/>
  <c r="Q127" i="3"/>
  <c r="R127" i="3"/>
  <c r="O103" i="3"/>
  <c r="Q103" i="3"/>
  <c r="P103" i="3"/>
  <c r="R103" i="3"/>
  <c r="S103" i="3"/>
  <c r="O79" i="3"/>
  <c r="Q79" i="3"/>
  <c r="R79" i="3"/>
  <c r="S79" i="3"/>
  <c r="P79" i="3"/>
  <c r="O55" i="3"/>
  <c r="P55" i="3"/>
  <c r="Q55" i="3"/>
  <c r="R55" i="3"/>
  <c r="S55" i="3"/>
  <c r="O31" i="3"/>
  <c r="P31" i="3"/>
  <c r="R31" i="3"/>
  <c r="S31" i="3"/>
  <c r="Q31" i="3"/>
  <c r="O7" i="3"/>
  <c r="P7" i="3"/>
  <c r="S7" i="3"/>
  <c r="Q7" i="3"/>
  <c r="R7" i="3"/>
  <c r="S251" i="3"/>
  <c r="P251" i="3"/>
  <c r="Q251" i="3"/>
  <c r="O251" i="3"/>
  <c r="R251" i="3"/>
  <c r="S155" i="3"/>
  <c r="R155" i="3"/>
  <c r="O155" i="3"/>
  <c r="Q155" i="3"/>
  <c r="P155" i="3"/>
  <c r="R130" i="3"/>
  <c r="Q130" i="3"/>
  <c r="S130" i="3"/>
  <c r="O130" i="3"/>
  <c r="P130" i="3"/>
  <c r="O246" i="3"/>
  <c r="Q246" i="3"/>
  <c r="R246" i="3"/>
  <c r="P246" i="3"/>
  <c r="S246" i="3"/>
  <c r="S198" i="3"/>
  <c r="O198" i="3"/>
  <c r="P198" i="3"/>
  <c r="Q198" i="3"/>
  <c r="R198" i="3"/>
  <c r="O266" i="3"/>
  <c r="P266" i="3"/>
  <c r="R266" i="3"/>
  <c r="S266" i="3"/>
  <c r="Q266" i="3"/>
  <c r="P122" i="3"/>
  <c r="Q122" i="3"/>
  <c r="R122" i="3"/>
  <c r="S122" i="3"/>
  <c r="O122" i="3"/>
  <c r="P26" i="3"/>
  <c r="O26" i="3"/>
  <c r="R26" i="3"/>
  <c r="S26" i="3"/>
  <c r="Q26" i="3"/>
  <c r="O265" i="3"/>
  <c r="P265" i="3"/>
  <c r="R265" i="3"/>
  <c r="S265" i="3"/>
  <c r="Q265" i="3"/>
  <c r="S241" i="3"/>
  <c r="P241" i="3"/>
  <c r="Q241" i="3"/>
  <c r="R241" i="3"/>
  <c r="O241" i="3"/>
  <c r="P217" i="3"/>
  <c r="Q217" i="3"/>
  <c r="S217" i="3"/>
  <c r="O217" i="3"/>
  <c r="R217" i="3"/>
  <c r="P193" i="3"/>
  <c r="Q193" i="3"/>
  <c r="O193" i="3"/>
  <c r="R193" i="3"/>
  <c r="S193" i="3"/>
  <c r="R169" i="3"/>
  <c r="Q169" i="3"/>
  <c r="S169" i="3"/>
  <c r="O169" i="3"/>
  <c r="P169" i="3"/>
  <c r="P121" i="3"/>
  <c r="S121" i="3"/>
  <c r="R121" i="3"/>
  <c r="O121" i="3"/>
  <c r="Q121" i="3"/>
  <c r="O97" i="3"/>
  <c r="P97" i="3"/>
  <c r="Q97" i="3"/>
  <c r="R97" i="3"/>
  <c r="S97" i="3"/>
  <c r="O73" i="3"/>
  <c r="S73" i="3"/>
  <c r="R73" i="3"/>
  <c r="P73" i="3"/>
  <c r="Q73" i="3"/>
  <c r="Q49" i="3"/>
  <c r="O49" i="3"/>
  <c r="P49" i="3"/>
  <c r="S49" i="3"/>
  <c r="R49" i="3"/>
  <c r="P25" i="3"/>
  <c r="Q25" i="3"/>
  <c r="R25" i="3"/>
  <c r="S25" i="3"/>
  <c r="O25" i="3"/>
  <c r="O264" i="3"/>
  <c r="R264" i="3"/>
  <c r="P264" i="3"/>
  <c r="Q264" i="3"/>
  <c r="S264" i="3"/>
  <c r="R240" i="3"/>
  <c r="Q240" i="3"/>
  <c r="O240" i="3"/>
  <c r="P240" i="3"/>
  <c r="S240" i="3"/>
  <c r="Q216" i="3"/>
  <c r="R216" i="3"/>
  <c r="S216" i="3"/>
  <c r="O216" i="3"/>
  <c r="P216" i="3"/>
  <c r="Q192" i="3"/>
  <c r="R192" i="3"/>
  <c r="S192" i="3"/>
  <c r="O192" i="3"/>
  <c r="P192" i="3"/>
  <c r="O168" i="3"/>
  <c r="R168" i="3"/>
  <c r="P168" i="3"/>
  <c r="S168" i="3"/>
  <c r="Q168" i="3"/>
  <c r="Q144" i="3"/>
  <c r="O144" i="3"/>
  <c r="P144" i="3"/>
  <c r="R144" i="3"/>
  <c r="S144" i="3"/>
  <c r="S120" i="3"/>
  <c r="Q120" i="3"/>
  <c r="O120" i="3"/>
  <c r="P120" i="3"/>
  <c r="R120" i="3"/>
  <c r="R96" i="3"/>
  <c r="O96" i="3"/>
  <c r="P96" i="3"/>
  <c r="Q96" i="3"/>
  <c r="S96" i="3"/>
  <c r="P72" i="3"/>
  <c r="O72" i="3"/>
  <c r="Q72" i="3"/>
  <c r="R72" i="3"/>
  <c r="S72" i="3"/>
  <c r="O48" i="3"/>
  <c r="S48" i="3"/>
  <c r="Q48" i="3"/>
  <c r="R48" i="3"/>
  <c r="P48" i="3"/>
  <c r="O24" i="3"/>
  <c r="P24" i="3"/>
  <c r="Q24" i="3"/>
  <c r="R24" i="3"/>
  <c r="S24" i="3"/>
  <c r="S275" i="3"/>
  <c r="P275" i="3"/>
  <c r="Q275" i="3"/>
  <c r="R275" i="3"/>
  <c r="O275" i="3"/>
  <c r="R179" i="3"/>
  <c r="Q179" i="3"/>
  <c r="P179" i="3"/>
  <c r="S179" i="3"/>
  <c r="O179" i="3"/>
  <c r="S107" i="3"/>
  <c r="Q107" i="3"/>
  <c r="R107" i="3"/>
  <c r="O107" i="3"/>
  <c r="P107" i="3"/>
  <c r="Q178" i="3"/>
  <c r="O178" i="3"/>
  <c r="P178" i="3"/>
  <c r="R178" i="3"/>
  <c r="S178" i="3"/>
  <c r="R174" i="3"/>
  <c r="S174" i="3"/>
  <c r="O174" i="3"/>
  <c r="P174" i="3"/>
  <c r="Q174" i="3"/>
  <c r="S218" i="3"/>
  <c r="P218" i="3"/>
  <c r="Q218" i="3"/>
  <c r="R218" i="3"/>
  <c r="O218" i="3"/>
  <c r="R98" i="3"/>
  <c r="Q98" i="3"/>
  <c r="P98" i="3"/>
  <c r="S98" i="3"/>
  <c r="O98" i="3"/>
  <c r="O145" i="3"/>
  <c r="S145" i="3"/>
  <c r="Q145" i="3"/>
  <c r="R145" i="3"/>
  <c r="P145" i="3"/>
  <c r="Q263" i="3"/>
  <c r="R263" i="3"/>
  <c r="S263" i="3"/>
  <c r="O263" i="3"/>
  <c r="P263" i="3"/>
  <c r="Q239" i="3"/>
  <c r="S239" i="3"/>
  <c r="R239" i="3"/>
  <c r="O239" i="3"/>
  <c r="P239" i="3"/>
  <c r="R215" i="3"/>
  <c r="S215" i="3"/>
  <c r="P215" i="3"/>
  <c r="Q215" i="3"/>
  <c r="O215" i="3"/>
  <c r="P191" i="3"/>
  <c r="S191" i="3"/>
  <c r="O191" i="3"/>
  <c r="Q191" i="3"/>
  <c r="R191" i="3"/>
  <c r="R167" i="3"/>
  <c r="S167" i="3"/>
  <c r="P167" i="3"/>
  <c r="Q167" i="3"/>
  <c r="O167" i="3"/>
  <c r="R143" i="3"/>
  <c r="O143" i="3"/>
  <c r="P143" i="3"/>
  <c r="Q143" i="3"/>
  <c r="S143" i="3"/>
  <c r="R119" i="3"/>
  <c r="S119" i="3"/>
  <c r="P119" i="3"/>
  <c r="Q119" i="3"/>
  <c r="O119" i="3"/>
  <c r="R95" i="3"/>
  <c r="S95" i="3"/>
  <c r="O95" i="3"/>
  <c r="P95" i="3"/>
  <c r="Q95" i="3"/>
  <c r="R71" i="3"/>
  <c r="Q71" i="3"/>
  <c r="S71" i="3"/>
  <c r="O71" i="3"/>
  <c r="P71" i="3"/>
  <c r="R47" i="3"/>
  <c r="Q47" i="3"/>
  <c r="P47" i="3"/>
  <c r="S47" i="3"/>
  <c r="O47" i="3"/>
  <c r="R23" i="3"/>
  <c r="O23" i="3"/>
  <c r="Q23" i="3"/>
  <c r="S23" i="3"/>
  <c r="P23" i="3"/>
  <c r="R270" i="3"/>
  <c r="O270" i="3"/>
  <c r="P270" i="3"/>
  <c r="Q270" i="3"/>
  <c r="S270" i="3"/>
  <c r="P150" i="3"/>
  <c r="Q150" i="3"/>
  <c r="R150" i="3"/>
  <c r="O150" i="3"/>
  <c r="S150" i="3"/>
  <c r="P242" i="3"/>
  <c r="Q242" i="3"/>
  <c r="R242" i="3"/>
  <c r="O242" i="3"/>
  <c r="S242" i="3"/>
  <c r="P146" i="3"/>
  <c r="Q146" i="3"/>
  <c r="O146" i="3"/>
  <c r="R146" i="3"/>
  <c r="S146" i="3"/>
  <c r="O74" i="3"/>
  <c r="P74" i="3"/>
  <c r="Q74" i="3"/>
  <c r="R74" i="3"/>
  <c r="S74" i="3"/>
  <c r="S170" i="3"/>
  <c r="R170" i="3"/>
  <c r="Q170" i="3"/>
  <c r="P170" i="3"/>
  <c r="O170" i="3"/>
  <c r="O211" i="3"/>
  <c r="P211" i="3"/>
  <c r="Q211" i="3"/>
  <c r="S211" i="3"/>
  <c r="R211" i="3"/>
  <c r="O187" i="3"/>
  <c r="P187" i="3"/>
  <c r="Q187" i="3"/>
  <c r="R187" i="3"/>
  <c r="S187" i="3"/>
  <c r="S139" i="3"/>
  <c r="P139" i="3"/>
  <c r="Q139" i="3"/>
  <c r="R139" i="3"/>
  <c r="O139" i="3"/>
  <c r="Q115" i="3"/>
  <c r="S115" i="3"/>
  <c r="P115" i="3"/>
  <c r="R115" i="3"/>
  <c r="O115" i="3"/>
  <c r="P91" i="3"/>
  <c r="R91" i="3"/>
  <c r="S91" i="3"/>
  <c r="O91" i="3"/>
  <c r="Q91" i="3"/>
  <c r="O67" i="3"/>
  <c r="P67" i="3"/>
  <c r="R67" i="3"/>
  <c r="S67" i="3"/>
  <c r="Q67" i="3"/>
  <c r="O43" i="3"/>
  <c r="P43" i="3"/>
  <c r="Q43" i="3"/>
  <c r="R43" i="3"/>
  <c r="S43" i="3"/>
  <c r="P19" i="3"/>
  <c r="O19" i="3"/>
  <c r="Q19" i="3"/>
  <c r="R19" i="3"/>
  <c r="S19" i="3"/>
  <c r="R227" i="3"/>
  <c r="O227" i="3"/>
  <c r="P227" i="3"/>
  <c r="Q227" i="3"/>
  <c r="S227" i="3"/>
  <c r="S131" i="3"/>
  <c r="Q131" i="3"/>
  <c r="R131" i="3"/>
  <c r="P131" i="3"/>
  <c r="O131" i="3"/>
  <c r="Q250" i="3"/>
  <c r="P250" i="3"/>
  <c r="R250" i="3"/>
  <c r="S250" i="3"/>
  <c r="O250" i="3"/>
  <c r="R58" i="3"/>
  <c r="P58" i="3"/>
  <c r="Q58" i="3"/>
  <c r="O58" i="3"/>
  <c r="S58" i="3"/>
  <c r="P222" i="3"/>
  <c r="O222" i="3"/>
  <c r="S222" i="3"/>
  <c r="R222" i="3"/>
  <c r="Q222" i="3"/>
  <c r="R194" i="3"/>
  <c r="O194" i="3"/>
  <c r="Q194" i="3"/>
  <c r="S194" i="3"/>
  <c r="P194" i="3"/>
  <c r="R50" i="3"/>
  <c r="O50" i="3"/>
  <c r="P50" i="3"/>
  <c r="Q50" i="3"/>
  <c r="S50" i="3"/>
  <c r="S283" i="3"/>
  <c r="Q283" i="3"/>
  <c r="R283" i="3"/>
  <c r="O283" i="3"/>
  <c r="P283" i="3"/>
  <c r="S259" i="3"/>
  <c r="P259" i="3"/>
  <c r="Q259" i="3"/>
  <c r="O259" i="3"/>
  <c r="R259" i="3"/>
  <c r="P235" i="3"/>
  <c r="O235" i="3"/>
  <c r="Q235" i="3"/>
  <c r="S235" i="3"/>
  <c r="R235" i="3"/>
  <c r="Q163" i="3"/>
  <c r="O163" i="3"/>
  <c r="P163" i="3"/>
  <c r="R163" i="3"/>
  <c r="S163" i="3"/>
  <c r="S282" i="3"/>
  <c r="Q282" i="3"/>
  <c r="R282" i="3"/>
  <c r="O282" i="3"/>
  <c r="P282" i="3"/>
  <c r="O258" i="3"/>
  <c r="Q258" i="3"/>
  <c r="R258" i="3"/>
  <c r="P258" i="3"/>
  <c r="S258" i="3"/>
  <c r="O234" i="3"/>
  <c r="Q234" i="3"/>
  <c r="R234" i="3"/>
  <c r="S234" i="3"/>
  <c r="P234" i="3"/>
  <c r="S210" i="3"/>
  <c r="Q210" i="3"/>
  <c r="R210" i="3"/>
  <c r="O210" i="3"/>
  <c r="P210" i="3"/>
  <c r="Q186" i="3"/>
  <c r="P186" i="3"/>
  <c r="S186" i="3"/>
  <c r="O186" i="3"/>
  <c r="R186" i="3"/>
  <c r="O162" i="3"/>
  <c r="Q162" i="3"/>
  <c r="R162" i="3"/>
  <c r="S162" i="3"/>
  <c r="P162" i="3"/>
  <c r="O138" i="3"/>
  <c r="P138" i="3"/>
  <c r="S138" i="3"/>
  <c r="R138" i="3"/>
  <c r="Q138" i="3"/>
  <c r="O114" i="3"/>
  <c r="P114" i="3"/>
  <c r="Q114" i="3"/>
  <c r="R114" i="3"/>
  <c r="S114" i="3"/>
  <c r="O90" i="3"/>
  <c r="Q90" i="3"/>
  <c r="S90" i="3"/>
  <c r="R90" i="3"/>
  <c r="P90" i="3"/>
  <c r="O66" i="3"/>
  <c r="P66" i="3"/>
  <c r="Q66" i="3"/>
  <c r="R66" i="3"/>
  <c r="S66" i="3"/>
  <c r="O42" i="3"/>
  <c r="P42" i="3"/>
  <c r="Q42" i="3"/>
  <c r="R42" i="3"/>
  <c r="S42" i="3"/>
  <c r="O18" i="3"/>
  <c r="P18" i="3"/>
  <c r="Q18" i="3"/>
  <c r="R18" i="3"/>
  <c r="S18" i="3"/>
  <c r="P245" i="3"/>
  <c r="Q245" i="3"/>
  <c r="R245" i="3"/>
  <c r="O245" i="3"/>
  <c r="S245" i="3"/>
  <c r="Q197" i="3"/>
  <c r="R197" i="3"/>
  <c r="S197" i="3"/>
  <c r="O197" i="3"/>
  <c r="P197" i="3"/>
  <c r="Q149" i="3"/>
  <c r="R149" i="3"/>
  <c r="P149" i="3"/>
  <c r="S149" i="3"/>
  <c r="O149" i="3"/>
  <c r="R101" i="3"/>
  <c r="Q101" i="3"/>
  <c r="O101" i="3"/>
  <c r="P101" i="3"/>
  <c r="S101" i="3"/>
  <c r="P53" i="3"/>
  <c r="O53" i="3"/>
  <c r="Q53" i="3"/>
  <c r="R53" i="3"/>
  <c r="S53" i="3"/>
  <c r="P5" i="3"/>
  <c r="Q5" i="3"/>
  <c r="R5" i="3"/>
  <c r="O5" i="3"/>
  <c r="S5" i="3"/>
  <c r="P268" i="3"/>
  <c r="R268" i="3"/>
  <c r="S268" i="3"/>
  <c r="Q268" i="3"/>
  <c r="O268" i="3"/>
  <c r="R244" i="3"/>
  <c r="O244" i="3"/>
  <c r="Q244" i="3"/>
  <c r="S244" i="3"/>
  <c r="P244" i="3"/>
  <c r="O220" i="3"/>
  <c r="P220" i="3"/>
  <c r="Q220" i="3"/>
  <c r="R220" i="3"/>
  <c r="S220" i="3"/>
  <c r="S196" i="3"/>
  <c r="P196" i="3"/>
  <c r="O196" i="3"/>
  <c r="Q196" i="3"/>
  <c r="R196" i="3"/>
  <c r="S172" i="3"/>
  <c r="R172" i="3"/>
  <c r="O172" i="3"/>
  <c r="P172" i="3"/>
  <c r="Q172" i="3"/>
  <c r="O148" i="3"/>
  <c r="P148" i="3"/>
  <c r="R148" i="3"/>
  <c r="S148" i="3"/>
  <c r="Q148" i="3"/>
  <c r="Q124" i="3"/>
  <c r="R124" i="3"/>
  <c r="S124" i="3"/>
  <c r="O124" i="3"/>
  <c r="P124" i="3"/>
  <c r="S100" i="3"/>
  <c r="P100" i="3"/>
  <c r="Q100" i="3"/>
  <c r="O100" i="3"/>
  <c r="R100" i="3"/>
  <c r="O76" i="3"/>
  <c r="Q76" i="3"/>
  <c r="R76" i="3"/>
  <c r="P76" i="3"/>
  <c r="S76" i="3"/>
  <c r="O52" i="3"/>
  <c r="P52" i="3"/>
  <c r="Q52" i="3"/>
  <c r="S52" i="3"/>
  <c r="R52" i="3"/>
  <c r="Q28" i="3"/>
  <c r="S28" i="3"/>
  <c r="P28" i="3"/>
  <c r="R28" i="3"/>
  <c r="O28" i="3"/>
  <c r="O4" i="3"/>
  <c r="P4" i="3"/>
  <c r="Q4" i="3"/>
  <c r="R4" i="3"/>
  <c r="S4" i="3"/>
  <c r="S126" i="3"/>
  <c r="P126" i="3"/>
  <c r="O126" i="3"/>
  <c r="Q126" i="3"/>
  <c r="R126" i="3"/>
  <c r="O102" i="3"/>
  <c r="P102" i="3"/>
  <c r="Q102" i="3"/>
  <c r="S102" i="3"/>
  <c r="R102" i="3"/>
  <c r="P78" i="3"/>
  <c r="Q78" i="3"/>
  <c r="R78" i="3"/>
  <c r="S78" i="3"/>
  <c r="O78" i="3"/>
  <c r="R54" i="3"/>
  <c r="S54" i="3"/>
  <c r="P54" i="3"/>
  <c r="Q54" i="3"/>
  <c r="O54" i="3"/>
  <c r="O30" i="3"/>
  <c r="P30" i="3"/>
  <c r="Q30" i="3"/>
  <c r="R30" i="3"/>
  <c r="S30" i="3"/>
  <c r="Q6" i="3"/>
  <c r="R6" i="3"/>
  <c r="S6" i="3"/>
  <c r="O6" i="3"/>
  <c r="P6" i="3"/>
  <c r="P269" i="3"/>
  <c r="Q269" i="3"/>
  <c r="O269" i="3"/>
  <c r="R269" i="3"/>
  <c r="S269" i="3"/>
  <c r="O221" i="3"/>
  <c r="Q221" i="3"/>
  <c r="P221" i="3"/>
  <c r="R221" i="3"/>
  <c r="S221" i="3"/>
  <c r="Q173" i="3"/>
  <c r="R173" i="3"/>
  <c r="O173" i="3"/>
  <c r="S173" i="3"/>
  <c r="P173" i="3"/>
  <c r="P125" i="3"/>
  <c r="Q125" i="3"/>
  <c r="S125" i="3"/>
  <c r="O125" i="3"/>
  <c r="R125" i="3"/>
  <c r="S77" i="3"/>
  <c r="R77" i="3"/>
  <c r="Q77" i="3"/>
  <c r="O77" i="3"/>
  <c r="P77" i="3"/>
  <c r="Q29" i="3"/>
  <c r="O29" i="3"/>
  <c r="P29" i="3"/>
  <c r="R29" i="3"/>
  <c r="S29" i="3"/>
  <c r="O267" i="3"/>
  <c r="R267" i="3"/>
  <c r="P267" i="3"/>
  <c r="Q267" i="3"/>
  <c r="S267" i="3"/>
  <c r="O243" i="3"/>
  <c r="P243" i="3"/>
  <c r="S243" i="3"/>
  <c r="R243" i="3"/>
  <c r="Q243" i="3"/>
  <c r="S219" i="3"/>
  <c r="R219" i="3"/>
  <c r="O219" i="3"/>
  <c r="P219" i="3"/>
  <c r="Q219" i="3"/>
  <c r="P195" i="3"/>
  <c r="R195" i="3"/>
  <c r="S195" i="3"/>
  <c r="O195" i="3"/>
  <c r="Q195" i="3"/>
  <c r="Q171" i="3"/>
  <c r="O171" i="3"/>
  <c r="P171" i="3"/>
  <c r="R171" i="3"/>
  <c r="S171" i="3"/>
  <c r="P147" i="3"/>
  <c r="O147" i="3"/>
  <c r="Q147" i="3"/>
  <c r="R147" i="3"/>
  <c r="S147" i="3"/>
  <c r="P123" i="3"/>
  <c r="S123" i="3"/>
  <c r="R123" i="3"/>
  <c r="O123" i="3"/>
  <c r="Q123" i="3"/>
  <c r="Q99" i="3"/>
  <c r="S99" i="3"/>
  <c r="O99" i="3"/>
  <c r="P99" i="3"/>
  <c r="R99" i="3"/>
  <c r="P75" i="3"/>
  <c r="O75" i="3"/>
  <c r="Q75" i="3"/>
  <c r="R75" i="3"/>
  <c r="S75" i="3"/>
  <c r="R51" i="3"/>
  <c r="S51" i="3"/>
  <c r="O51" i="3"/>
  <c r="P51" i="3"/>
  <c r="Q51" i="3"/>
  <c r="O27" i="3"/>
  <c r="P27" i="3"/>
  <c r="Q27" i="3"/>
  <c r="R27" i="3"/>
  <c r="S27" i="3"/>
  <c r="O262" i="3"/>
  <c r="P262" i="3"/>
  <c r="Q262" i="3"/>
  <c r="S262" i="3"/>
  <c r="R262" i="3"/>
  <c r="O238" i="3"/>
  <c r="R238" i="3"/>
  <c r="S238" i="3"/>
  <c r="P238" i="3"/>
  <c r="Q238" i="3"/>
  <c r="R214" i="3"/>
  <c r="O214" i="3"/>
  <c r="Q214" i="3"/>
  <c r="S214" i="3"/>
  <c r="P214" i="3"/>
  <c r="P190" i="3"/>
  <c r="S190" i="3"/>
  <c r="O190" i="3"/>
  <c r="Q190" i="3"/>
  <c r="R190" i="3"/>
  <c r="S166" i="3"/>
  <c r="Q166" i="3"/>
  <c r="O166" i="3"/>
  <c r="P166" i="3"/>
  <c r="R166" i="3"/>
  <c r="S142" i="3"/>
  <c r="O142" i="3"/>
  <c r="P142" i="3"/>
  <c r="Q142" i="3"/>
  <c r="R142" i="3"/>
  <c r="S118" i="3"/>
  <c r="O118" i="3"/>
  <c r="Q118" i="3"/>
  <c r="R118" i="3"/>
  <c r="P118" i="3"/>
  <c r="S94" i="3"/>
  <c r="Q94" i="3"/>
  <c r="R94" i="3"/>
  <c r="O94" i="3"/>
  <c r="P94" i="3"/>
  <c r="S70" i="3"/>
  <c r="O70" i="3"/>
  <c r="P70" i="3"/>
  <c r="Q70" i="3"/>
  <c r="R70" i="3"/>
  <c r="S46" i="3"/>
  <c r="O46" i="3"/>
  <c r="P46" i="3"/>
  <c r="Q46" i="3"/>
  <c r="R46" i="3"/>
  <c r="S22" i="3"/>
  <c r="O22" i="3"/>
  <c r="Q22" i="3"/>
  <c r="P22" i="3"/>
  <c r="R22" i="3"/>
  <c r="O285" i="3"/>
  <c r="P285" i="3"/>
  <c r="Q285" i="3"/>
  <c r="R285" i="3"/>
  <c r="S285" i="3"/>
  <c r="Q261" i="3"/>
  <c r="R261" i="3"/>
  <c r="S261" i="3"/>
  <c r="O261" i="3"/>
  <c r="P261" i="3"/>
  <c r="O237" i="3"/>
  <c r="P237" i="3"/>
  <c r="Q237" i="3"/>
  <c r="R237" i="3"/>
  <c r="S237" i="3"/>
  <c r="O213" i="3"/>
  <c r="R213" i="3"/>
  <c r="S213" i="3"/>
  <c r="P213" i="3"/>
  <c r="Q213" i="3"/>
  <c r="R189" i="3"/>
  <c r="O189" i="3"/>
  <c r="P189" i="3"/>
  <c r="Q189" i="3"/>
  <c r="S189" i="3"/>
  <c r="P165" i="3"/>
  <c r="R165" i="3"/>
  <c r="O165" i="3"/>
  <c r="Q165" i="3"/>
  <c r="S165" i="3"/>
  <c r="P141" i="3"/>
  <c r="O141" i="3"/>
  <c r="Q141" i="3"/>
  <c r="S141" i="3"/>
  <c r="R141" i="3"/>
  <c r="P117" i="3"/>
  <c r="Q117" i="3"/>
  <c r="R117" i="3"/>
  <c r="O117" i="3"/>
  <c r="S117" i="3"/>
  <c r="P93" i="3"/>
  <c r="R93" i="3"/>
  <c r="Q93" i="3"/>
  <c r="O93" i="3"/>
  <c r="S93" i="3"/>
  <c r="P69" i="3"/>
  <c r="S69" i="3"/>
  <c r="O69" i="3"/>
  <c r="R69" i="3"/>
  <c r="Q69" i="3"/>
  <c r="P45" i="3"/>
  <c r="R45" i="3"/>
  <c r="S45" i="3"/>
  <c r="O45" i="3"/>
  <c r="Q45" i="3"/>
  <c r="P21" i="3"/>
  <c r="R21" i="3"/>
  <c r="Q21" i="3"/>
  <c r="S21" i="3"/>
  <c r="O21" i="3"/>
  <c r="O284" i="3"/>
  <c r="P284" i="3"/>
  <c r="Q284" i="3"/>
  <c r="R284" i="3"/>
  <c r="S284" i="3"/>
  <c r="S260" i="3"/>
  <c r="Q260" i="3"/>
  <c r="R260" i="3"/>
  <c r="O260" i="3"/>
  <c r="P260" i="3"/>
  <c r="O236" i="3"/>
  <c r="P236" i="3"/>
  <c r="R236" i="3"/>
  <c r="S236" i="3"/>
  <c r="Q236" i="3"/>
  <c r="O212" i="3"/>
  <c r="P212" i="3"/>
  <c r="Q212" i="3"/>
  <c r="R212" i="3"/>
  <c r="S212" i="3"/>
  <c r="O188" i="3"/>
  <c r="S188" i="3"/>
  <c r="P188" i="3"/>
  <c r="Q188" i="3"/>
  <c r="R188" i="3"/>
  <c r="Q164" i="3"/>
  <c r="R164" i="3"/>
  <c r="S164" i="3"/>
  <c r="O164" i="3"/>
  <c r="P164" i="3"/>
  <c r="Q140" i="3"/>
  <c r="P140" i="3"/>
  <c r="O140" i="3"/>
  <c r="R140" i="3"/>
  <c r="S140" i="3"/>
  <c r="Q116" i="3"/>
  <c r="O116" i="3"/>
  <c r="R116" i="3"/>
  <c r="S116" i="3"/>
  <c r="P116" i="3"/>
  <c r="Q92" i="3"/>
  <c r="S92" i="3"/>
  <c r="O92" i="3"/>
  <c r="P92" i="3"/>
  <c r="R92" i="3"/>
  <c r="Q68" i="3"/>
  <c r="O68" i="3"/>
  <c r="P68" i="3"/>
  <c r="R68" i="3"/>
  <c r="S68" i="3"/>
  <c r="Q44" i="3"/>
  <c r="R44" i="3"/>
  <c r="O44" i="3"/>
  <c r="P44" i="3"/>
  <c r="S44" i="3"/>
  <c r="Q20" i="3"/>
  <c r="S20" i="3"/>
  <c r="P20" i="3"/>
  <c r="R20" i="3"/>
  <c r="O20" i="3"/>
  <c r="Q281" i="3"/>
  <c r="R281" i="3"/>
  <c r="S281" i="3"/>
  <c r="O281" i="3"/>
  <c r="P281" i="3"/>
  <c r="S89" i="3"/>
  <c r="O89" i="3"/>
  <c r="Q89" i="3"/>
  <c r="P89" i="3"/>
  <c r="R89" i="3"/>
  <c r="Q112" i="3"/>
  <c r="R112" i="3"/>
  <c r="P112" i="3"/>
  <c r="S112" i="3"/>
  <c r="O112" i="3"/>
  <c r="Q256" i="3"/>
  <c r="O256" i="3"/>
  <c r="P256" i="3"/>
  <c r="R256" i="3"/>
  <c r="S256" i="3"/>
  <c r="R232" i="3"/>
  <c r="S232" i="3"/>
  <c r="O232" i="3"/>
  <c r="P232" i="3"/>
  <c r="Q232" i="3"/>
  <c r="Q208" i="3"/>
  <c r="P208" i="3"/>
  <c r="R208" i="3"/>
  <c r="S208" i="3"/>
  <c r="O208" i="3"/>
  <c r="S136" i="3"/>
  <c r="P136" i="3"/>
  <c r="Q136" i="3"/>
  <c r="R136" i="3"/>
  <c r="O136" i="3"/>
  <c r="P64" i="3"/>
  <c r="R64" i="3"/>
  <c r="S64" i="3"/>
  <c r="O64" i="3"/>
  <c r="Q64" i="3"/>
  <c r="O279" i="3"/>
  <c r="Q279" i="3"/>
  <c r="P279" i="3"/>
  <c r="S279" i="3"/>
  <c r="R279" i="3"/>
  <c r="R207" i="3"/>
  <c r="O207" i="3"/>
  <c r="P207" i="3"/>
  <c r="Q207" i="3"/>
  <c r="S207" i="3"/>
  <c r="S159" i="3"/>
  <c r="P159" i="3"/>
  <c r="Q159" i="3"/>
  <c r="O159" i="3"/>
  <c r="R159" i="3"/>
  <c r="R111" i="3"/>
  <c r="S111" i="3"/>
  <c r="Q111" i="3"/>
  <c r="O111" i="3"/>
  <c r="P111" i="3"/>
  <c r="Q63" i="3"/>
  <c r="O63" i="3"/>
  <c r="P63" i="3"/>
  <c r="R63" i="3"/>
  <c r="S63" i="3"/>
  <c r="S39" i="3"/>
  <c r="R39" i="3"/>
  <c r="O39" i="3"/>
  <c r="P39" i="3"/>
  <c r="Q39" i="3"/>
  <c r="O257" i="3"/>
  <c r="Q257" i="3"/>
  <c r="R257" i="3"/>
  <c r="S257" i="3"/>
  <c r="P257" i="3"/>
  <c r="P185" i="3"/>
  <c r="S185" i="3"/>
  <c r="Q185" i="3"/>
  <c r="O185" i="3"/>
  <c r="R185" i="3"/>
  <c r="Q113" i="3"/>
  <c r="P113" i="3"/>
  <c r="O113" i="3"/>
  <c r="R113" i="3"/>
  <c r="S113" i="3"/>
  <c r="Q17" i="3"/>
  <c r="R17" i="3"/>
  <c r="S17" i="3"/>
  <c r="P17" i="3"/>
  <c r="O17" i="3"/>
  <c r="O160" i="3"/>
  <c r="S160" i="3"/>
  <c r="P160" i="3"/>
  <c r="R160" i="3"/>
  <c r="Q160" i="3"/>
  <c r="O16" i="3"/>
  <c r="Q16" i="3"/>
  <c r="P16" i="3"/>
  <c r="R16" i="3"/>
  <c r="S16" i="3"/>
  <c r="Q231" i="3"/>
  <c r="R231" i="3"/>
  <c r="P231" i="3"/>
  <c r="S231" i="3"/>
  <c r="O231" i="3"/>
  <c r="P135" i="3"/>
  <c r="R135" i="3"/>
  <c r="S135" i="3"/>
  <c r="O135" i="3"/>
  <c r="Q135" i="3"/>
  <c r="S15" i="3"/>
  <c r="Q15" i="3"/>
  <c r="R15" i="3"/>
  <c r="P15" i="3"/>
  <c r="O15" i="3"/>
  <c r="O278" i="3"/>
  <c r="Q278" i="3"/>
  <c r="R278" i="3"/>
  <c r="P278" i="3"/>
  <c r="S278" i="3"/>
  <c r="S254" i="3"/>
  <c r="O254" i="3"/>
  <c r="P254" i="3"/>
  <c r="Q254" i="3"/>
  <c r="R254" i="3"/>
  <c r="S230" i="3"/>
  <c r="O230" i="3"/>
  <c r="Q230" i="3"/>
  <c r="P230" i="3"/>
  <c r="R230" i="3"/>
  <c r="O206" i="3"/>
  <c r="P206" i="3"/>
  <c r="Q206" i="3"/>
  <c r="R206" i="3"/>
  <c r="S206" i="3"/>
  <c r="R182" i="3"/>
  <c r="Q182" i="3"/>
  <c r="O182" i="3"/>
  <c r="P182" i="3"/>
  <c r="S182" i="3"/>
  <c r="P158" i="3"/>
  <c r="S158" i="3"/>
  <c r="O158" i="3"/>
  <c r="Q158" i="3"/>
  <c r="R158" i="3"/>
  <c r="S134" i="3"/>
  <c r="O134" i="3"/>
  <c r="P134" i="3"/>
  <c r="R134" i="3"/>
  <c r="Q134" i="3"/>
  <c r="R110" i="3"/>
  <c r="O110" i="3"/>
  <c r="Q110" i="3"/>
  <c r="S110" i="3"/>
  <c r="P110" i="3"/>
  <c r="R86" i="3"/>
  <c r="S86" i="3"/>
  <c r="O86" i="3"/>
  <c r="P86" i="3"/>
  <c r="Q86" i="3"/>
  <c r="Q62" i="3"/>
  <c r="P62" i="3"/>
  <c r="O62" i="3"/>
  <c r="R62" i="3"/>
  <c r="S62" i="3"/>
  <c r="P38" i="3"/>
  <c r="Q38" i="3"/>
  <c r="R38" i="3"/>
  <c r="O38" i="3"/>
  <c r="S38" i="3"/>
  <c r="Q14" i="3"/>
  <c r="P14" i="3"/>
  <c r="R14" i="3"/>
  <c r="S14" i="3"/>
  <c r="O14" i="3"/>
  <c r="P233" i="3"/>
  <c r="O233" i="3"/>
  <c r="Q233" i="3"/>
  <c r="R233" i="3"/>
  <c r="S233" i="3"/>
  <c r="O161" i="3"/>
  <c r="R161" i="3"/>
  <c r="S161" i="3"/>
  <c r="Q161" i="3"/>
  <c r="P161" i="3"/>
  <c r="P65" i="3"/>
  <c r="Q65" i="3"/>
  <c r="R65" i="3"/>
  <c r="O65" i="3"/>
  <c r="S65" i="3"/>
  <c r="P280" i="3"/>
  <c r="Q280" i="3"/>
  <c r="R280" i="3"/>
  <c r="O280" i="3"/>
  <c r="S280" i="3"/>
  <c r="O88" i="3"/>
  <c r="S88" i="3"/>
  <c r="P88" i="3"/>
  <c r="R88" i="3"/>
  <c r="Q88" i="3"/>
  <c r="R183" i="3"/>
  <c r="S183" i="3"/>
  <c r="O183" i="3"/>
  <c r="P183" i="3"/>
  <c r="Q183" i="3"/>
  <c r="O277" i="3"/>
  <c r="Q277" i="3"/>
  <c r="P277" i="3"/>
  <c r="R277" i="3"/>
  <c r="S277" i="3"/>
  <c r="S229" i="3"/>
  <c r="Q229" i="3"/>
  <c r="R229" i="3"/>
  <c r="O229" i="3"/>
  <c r="P229" i="3"/>
  <c r="P205" i="3"/>
  <c r="O205" i="3"/>
  <c r="Q205" i="3"/>
  <c r="S205" i="3"/>
  <c r="R205" i="3"/>
  <c r="Q181" i="3"/>
  <c r="R181" i="3"/>
  <c r="O181" i="3"/>
  <c r="S181" i="3"/>
  <c r="P181" i="3"/>
  <c r="S157" i="3"/>
  <c r="Q157" i="3"/>
  <c r="O157" i="3"/>
  <c r="P157" i="3"/>
  <c r="R157" i="3"/>
  <c r="O133" i="3"/>
  <c r="S133" i="3"/>
  <c r="P133" i="3"/>
  <c r="Q133" i="3"/>
  <c r="R133" i="3"/>
  <c r="P109" i="3"/>
  <c r="Q109" i="3"/>
  <c r="S109" i="3"/>
  <c r="O109" i="3"/>
  <c r="R109" i="3"/>
  <c r="S85" i="3"/>
  <c r="R85" i="3"/>
  <c r="O85" i="3"/>
  <c r="Q85" i="3"/>
  <c r="P85" i="3"/>
  <c r="O61" i="3"/>
  <c r="R61" i="3"/>
  <c r="P61" i="3"/>
  <c r="Q61" i="3"/>
  <c r="S61" i="3"/>
  <c r="O37" i="3"/>
  <c r="P37" i="3"/>
  <c r="Q37" i="3"/>
  <c r="R37" i="3"/>
  <c r="S37" i="3"/>
  <c r="Q13" i="3"/>
  <c r="R13" i="3"/>
  <c r="S13" i="3"/>
  <c r="O13" i="3"/>
  <c r="P13" i="3"/>
  <c r="O209" i="3"/>
  <c r="Q209" i="3"/>
  <c r="S209" i="3"/>
  <c r="P209" i="3"/>
  <c r="R209" i="3"/>
  <c r="O137" i="3"/>
  <c r="P137" i="3"/>
  <c r="S137" i="3"/>
  <c r="Q137" i="3"/>
  <c r="R137" i="3"/>
  <c r="S41" i="3"/>
  <c r="Q41" i="3"/>
  <c r="O41" i="3"/>
  <c r="P41" i="3"/>
  <c r="R41" i="3"/>
  <c r="O184" i="3"/>
  <c r="P184" i="3"/>
  <c r="Q184" i="3"/>
  <c r="R184" i="3"/>
  <c r="S184" i="3"/>
  <c r="O40" i="3"/>
  <c r="S40" i="3"/>
  <c r="P40" i="3"/>
  <c r="Q40" i="3"/>
  <c r="R40" i="3"/>
  <c r="S255" i="3"/>
  <c r="R255" i="3"/>
  <c r="O255" i="3"/>
  <c r="P255" i="3"/>
  <c r="Q255" i="3"/>
  <c r="O87" i="3"/>
  <c r="P87" i="3"/>
  <c r="S87" i="3"/>
  <c r="Q87" i="3"/>
  <c r="R87" i="3"/>
  <c r="R253" i="3"/>
  <c r="P253" i="3"/>
  <c r="Q253" i="3"/>
  <c r="S253" i="3"/>
  <c r="O253" i="3"/>
  <c r="R276" i="3"/>
  <c r="Q276" i="3"/>
  <c r="O276" i="3"/>
  <c r="P276" i="3"/>
  <c r="S276" i="3"/>
  <c r="R252" i="3"/>
  <c r="O252" i="3"/>
  <c r="Q252" i="3"/>
  <c r="S252" i="3"/>
  <c r="P252" i="3"/>
  <c r="S228" i="3"/>
  <c r="O228" i="3"/>
  <c r="P228" i="3"/>
  <c r="R228" i="3"/>
  <c r="Q228" i="3"/>
  <c r="Q204" i="3"/>
  <c r="O204" i="3"/>
  <c r="P204" i="3"/>
  <c r="R204" i="3"/>
  <c r="S204" i="3"/>
  <c r="O180" i="3"/>
  <c r="P180" i="3"/>
  <c r="Q180" i="3"/>
  <c r="S180" i="3"/>
  <c r="R180" i="3"/>
  <c r="P156" i="3"/>
  <c r="Q156" i="3"/>
  <c r="R156" i="3"/>
  <c r="O156" i="3"/>
  <c r="S156" i="3"/>
  <c r="R132" i="3"/>
  <c r="O132" i="3"/>
  <c r="Q132" i="3"/>
  <c r="S132" i="3"/>
  <c r="P132" i="3"/>
  <c r="Q108" i="3"/>
  <c r="P108" i="3"/>
  <c r="O108" i="3"/>
  <c r="S108" i="3"/>
  <c r="R108" i="3"/>
  <c r="Q84" i="3"/>
  <c r="R84" i="3"/>
  <c r="S84" i="3"/>
  <c r="O84" i="3"/>
  <c r="P84" i="3"/>
  <c r="P60" i="3"/>
  <c r="Q60" i="3"/>
  <c r="S60" i="3"/>
  <c r="O60" i="3"/>
  <c r="R60" i="3"/>
  <c r="O36" i="3"/>
  <c r="P36" i="3"/>
  <c r="R36" i="3"/>
  <c r="Q36" i="3"/>
  <c r="S36" i="3"/>
  <c r="S12" i="3"/>
  <c r="R12" i="3"/>
  <c r="P12" i="3"/>
  <c r="Q12" i="3"/>
  <c r="O12" i="3"/>
  <c r="S59" i="3"/>
  <c r="P59" i="3"/>
  <c r="O59" i="3"/>
  <c r="R59" i="3"/>
  <c r="Q59" i="3"/>
  <c r="S35" i="3"/>
  <c r="P35" i="3"/>
  <c r="O35" i="3"/>
  <c r="Q35" i="3"/>
  <c r="R35" i="3"/>
  <c r="S11" i="3"/>
  <c r="O11" i="3"/>
  <c r="P11" i="3"/>
  <c r="Q11" i="3"/>
  <c r="R11" i="3"/>
  <c r="R160" i="6"/>
  <c r="R162" i="6"/>
  <c r="R164" i="6"/>
  <c r="R163" i="6"/>
  <c r="R159" i="6"/>
  <c r="R158" i="6"/>
  <c r="R161" i="6"/>
  <c r="N3" i="6"/>
  <c r="M3" i="10" s="1"/>
  <c r="M3" i="6"/>
  <c r="L3" i="10" s="1"/>
  <c r="P3" i="6"/>
  <c r="O3" i="10" s="1"/>
  <c r="N122" i="6"/>
  <c r="M122" i="10" s="1"/>
  <c r="P122" i="6"/>
  <c r="O122" i="10" s="1"/>
  <c r="Q122" i="6"/>
  <c r="P122" i="10" s="1"/>
  <c r="M122" i="6"/>
  <c r="L122" i="10" s="1"/>
  <c r="O122" i="6"/>
  <c r="N122" i="10" s="1"/>
  <c r="Q100" i="6"/>
  <c r="P100" i="10" s="1"/>
  <c r="N100" i="6"/>
  <c r="M100" i="10" s="1"/>
  <c r="O100" i="6"/>
  <c r="N100" i="10" s="1"/>
  <c r="M100" i="6"/>
  <c r="L100" i="10" s="1"/>
  <c r="P100" i="6"/>
  <c r="O100" i="10" s="1"/>
  <c r="M28" i="6"/>
  <c r="L28" i="10" s="1"/>
  <c r="N28" i="6"/>
  <c r="M28" i="10" s="1"/>
  <c r="O28" i="6"/>
  <c r="N28" i="10" s="1"/>
  <c r="Q28" i="6"/>
  <c r="P28" i="10" s="1"/>
  <c r="P28" i="6"/>
  <c r="O28" i="10" s="1"/>
  <c r="M98" i="6"/>
  <c r="L98" i="10" s="1"/>
  <c r="N98" i="6"/>
  <c r="M98" i="10" s="1"/>
  <c r="O98" i="6"/>
  <c r="N98" i="10" s="1"/>
  <c r="P98" i="6"/>
  <c r="O98" i="10" s="1"/>
  <c r="Q98" i="6"/>
  <c r="P98" i="10" s="1"/>
  <c r="O72" i="6"/>
  <c r="N72" i="10" s="1"/>
  <c r="P72" i="6"/>
  <c r="O72" i="10" s="1"/>
  <c r="Q72" i="6"/>
  <c r="P72" i="10" s="1"/>
  <c r="M72" i="6"/>
  <c r="L72" i="10" s="1"/>
  <c r="N72" i="6"/>
  <c r="M72" i="10" s="1"/>
  <c r="M148" i="6"/>
  <c r="L148" i="10" s="1"/>
  <c r="N148" i="6"/>
  <c r="M148" i="10" s="1"/>
  <c r="O148" i="6"/>
  <c r="N148" i="10" s="1"/>
  <c r="P148" i="6"/>
  <c r="O148" i="10" s="1"/>
  <c r="Q148" i="6"/>
  <c r="P148" i="10" s="1"/>
  <c r="N124" i="6"/>
  <c r="M124" i="10" s="1"/>
  <c r="O124" i="6"/>
  <c r="N124" i="10" s="1"/>
  <c r="P124" i="6"/>
  <c r="O124" i="10" s="1"/>
  <c r="M124" i="6"/>
  <c r="L124" i="10" s="1"/>
  <c r="Q124" i="6"/>
  <c r="P124" i="10" s="1"/>
  <c r="O76" i="6"/>
  <c r="N76" i="10" s="1"/>
  <c r="Q76" i="6"/>
  <c r="P76" i="10" s="1"/>
  <c r="M76" i="6"/>
  <c r="L76" i="10" s="1"/>
  <c r="N76" i="6"/>
  <c r="M76" i="10" s="1"/>
  <c r="P76" i="6"/>
  <c r="O76" i="10" s="1"/>
  <c r="M52" i="6"/>
  <c r="L52" i="10" s="1"/>
  <c r="N52" i="6"/>
  <c r="M52" i="10" s="1"/>
  <c r="O52" i="6"/>
  <c r="N52" i="10" s="1"/>
  <c r="P52" i="6"/>
  <c r="O52" i="10" s="1"/>
  <c r="Q52" i="6"/>
  <c r="P52" i="10" s="1"/>
  <c r="M4" i="6"/>
  <c r="L4" i="10" s="1"/>
  <c r="N4" i="6"/>
  <c r="M4" i="10" s="1"/>
  <c r="O4" i="6"/>
  <c r="N4" i="10" s="1"/>
  <c r="P4" i="6"/>
  <c r="O4" i="10" s="1"/>
  <c r="Q4" i="6"/>
  <c r="P4" i="10" s="1"/>
  <c r="Q147" i="6"/>
  <c r="P147" i="10" s="1"/>
  <c r="M147" i="6"/>
  <c r="L147" i="10" s="1"/>
  <c r="N147" i="6"/>
  <c r="M147" i="10" s="1"/>
  <c r="O147" i="6"/>
  <c r="N147" i="10" s="1"/>
  <c r="P147" i="6"/>
  <c r="O147" i="10" s="1"/>
  <c r="M123" i="6"/>
  <c r="L123" i="10" s="1"/>
  <c r="N123" i="6"/>
  <c r="M123" i="10" s="1"/>
  <c r="O123" i="6"/>
  <c r="N123" i="10" s="1"/>
  <c r="P123" i="6"/>
  <c r="O123" i="10" s="1"/>
  <c r="Q123" i="6"/>
  <c r="P123" i="10" s="1"/>
  <c r="N99" i="6"/>
  <c r="M99" i="10" s="1"/>
  <c r="O99" i="6"/>
  <c r="N99" i="10" s="1"/>
  <c r="P99" i="6"/>
  <c r="O99" i="10" s="1"/>
  <c r="M99" i="6"/>
  <c r="L99" i="10" s="1"/>
  <c r="Q99" i="6"/>
  <c r="P99" i="10" s="1"/>
  <c r="O75" i="6"/>
  <c r="N75" i="10" s="1"/>
  <c r="P75" i="6"/>
  <c r="O75" i="10" s="1"/>
  <c r="Q75" i="6"/>
  <c r="P75" i="10" s="1"/>
  <c r="M75" i="6"/>
  <c r="L75" i="10" s="1"/>
  <c r="N75" i="6"/>
  <c r="M75" i="10" s="1"/>
  <c r="M51" i="6"/>
  <c r="L51" i="10" s="1"/>
  <c r="N51" i="6"/>
  <c r="M51" i="10" s="1"/>
  <c r="O51" i="6"/>
  <c r="N51" i="10" s="1"/>
  <c r="P51" i="6"/>
  <c r="O51" i="10" s="1"/>
  <c r="Q51" i="6"/>
  <c r="P51" i="10" s="1"/>
  <c r="M27" i="6"/>
  <c r="L27" i="10" s="1"/>
  <c r="N27" i="6"/>
  <c r="M27" i="10" s="1"/>
  <c r="O27" i="6"/>
  <c r="N27" i="10" s="1"/>
  <c r="P27" i="6"/>
  <c r="O27" i="10" s="1"/>
  <c r="Q27" i="6"/>
  <c r="P27" i="10" s="1"/>
  <c r="M141" i="6"/>
  <c r="L141" i="10" s="1"/>
  <c r="N141" i="6"/>
  <c r="M141" i="10" s="1"/>
  <c r="O141" i="6"/>
  <c r="N141" i="10" s="1"/>
  <c r="P141" i="6"/>
  <c r="O141" i="10" s="1"/>
  <c r="Q141" i="6"/>
  <c r="P141" i="10" s="1"/>
  <c r="P93" i="6"/>
  <c r="O93" i="10" s="1"/>
  <c r="M93" i="6"/>
  <c r="L93" i="10" s="1"/>
  <c r="N93" i="6"/>
  <c r="M93" i="10" s="1"/>
  <c r="O93" i="6"/>
  <c r="N93" i="10" s="1"/>
  <c r="Q93" i="6"/>
  <c r="P93" i="10" s="1"/>
  <c r="Q45" i="6"/>
  <c r="P45" i="10" s="1"/>
  <c r="M45" i="6"/>
  <c r="L45" i="10" s="1"/>
  <c r="N45" i="6"/>
  <c r="M45" i="10" s="1"/>
  <c r="O45" i="6"/>
  <c r="N45" i="10" s="1"/>
  <c r="P45" i="6"/>
  <c r="O45" i="10" s="1"/>
  <c r="O146" i="6"/>
  <c r="N146" i="10" s="1"/>
  <c r="M146" i="6"/>
  <c r="L146" i="10" s="1"/>
  <c r="N146" i="6"/>
  <c r="M146" i="10" s="1"/>
  <c r="P146" i="6"/>
  <c r="O146" i="10" s="1"/>
  <c r="Q146" i="6"/>
  <c r="P146" i="10" s="1"/>
  <c r="M96" i="6"/>
  <c r="L96" i="10" s="1"/>
  <c r="O96" i="6"/>
  <c r="N96" i="10" s="1"/>
  <c r="N96" i="6"/>
  <c r="M96" i="10" s="1"/>
  <c r="P96" i="6"/>
  <c r="O96" i="10" s="1"/>
  <c r="Q96" i="6"/>
  <c r="P96" i="10" s="1"/>
  <c r="M69" i="6"/>
  <c r="L69" i="10" s="1"/>
  <c r="N69" i="6"/>
  <c r="M69" i="10" s="1"/>
  <c r="O69" i="6"/>
  <c r="N69" i="10" s="1"/>
  <c r="P69" i="6"/>
  <c r="O69" i="10" s="1"/>
  <c r="Q69" i="6"/>
  <c r="P69" i="10" s="1"/>
  <c r="M26" i="6"/>
  <c r="L26" i="10" s="1"/>
  <c r="N26" i="6"/>
  <c r="M26" i="10" s="1"/>
  <c r="O26" i="6"/>
  <c r="N26" i="10" s="1"/>
  <c r="P26" i="6"/>
  <c r="O26" i="10" s="1"/>
  <c r="Q26" i="6"/>
  <c r="P26" i="10" s="1"/>
  <c r="N117" i="6"/>
  <c r="M117" i="10" s="1"/>
  <c r="O117" i="6"/>
  <c r="N117" i="10" s="1"/>
  <c r="P117" i="6"/>
  <c r="O117" i="10" s="1"/>
  <c r="M117" i="6"/>
  <c r="L117" i="10" s="1"/>
  <c r="Q117" i="6"/>
  <c r="P117" i="10" s="1"/>
  <c r="Q21" i="6"/>
  <c r="P21" i="10" s="1"/>
  <c r="M21" i="6"/>
  <c r="L21" i="10" s="1"/>
  <c r="O21" i="6"/>
  <c r="N21" i="10" s="1"/>
  <c r="N21" i="6"/>
  <c r="M21" i="10" s="1"/>
  <c r="P21" i="6"/>
  <c r="O21" i="10" s="1"/>
  <c r="N138" i="6"/>
  <c r="M138" i="10" s="1"/>
  <c r="O138" i="6"/>
  <c r="N138" i="10" s="1"/>
  <c r="P138" i="6"/>
  <c r="O138" i="10" s="1"/>
  <c r="M138" i="6"/>
  <c r="L138" i="10" s="1"/>
  <c r="Q138" i="6"/>
  <c r="P138" i="10" s="1"/>
  <c r="O114" i="6"/>
  <c r="N114" i="10" s="1"/>
  <c r="P114" i="6"/>
  <c r="O114" i="10" s="1"/>
  <c r="Q114" i="6"/>
  <c r="P114" i="10" s="1"/>
  <c r="M114" i="6"/>
  <c r="L114" i="10" s="1"/>
  <c r="N114" i="6"/>
  <c r="M114" i="10" s="1"/>
  <c r="Q90" i="6"/>
  <c r="P90" i="10" s="1"/>
  <c r="M90" i="6"/>
  <c r="L90" i="10" s="1"/>
  <c r="N90" i="6"/>
  <c r="M90" i="10" s="1"/>
  <c r="O90" i="6"/>
  <c r="N90" i="10" s="1"/>
  <c r="P90" i="6"/>
  <c r="O90" i="10" s="1"/>
  <c r="M66" i="6"/>
  <c r="L66" i="10" s="1"/>
  <c r="N66" i="6"/>
  <c r="M66" i="10" s="1"/>
  <c r="O66" i="6"/>
  <c r="N66" i="10" s="1"/>
  <c r="P66" i="6"/>
  <c r="O66" i="10" s="1"/>
  <c r="Q66" i="6"/>
  <c r="P66" i="10" s="1"/>
  <c r="Q42" i="6"/>
  <c r="P42" i="10" s="1"/>
  <c r="N42" i="6"/>
  <c r="M42" i="10" s="1"/>
  <c r="M42" i="6"/>
  <c r="L42" i="10" s="1"/>
  <c r="O42" i="6"/>
  <c r="N42" i="10" s="1"/>
  <c r="P42" i="6"/>
  <c r="O42" i="10" s="1"/>
  <c r="Q18" i="6"/>
  <c r="P18" i="10" s="1"/>
  <c r="M18" i="6"/>
  <c r="L18" i="10" s="1"/>
  <c r="N18" i="6"/>
  <c r="M18" i="10" s="1"/>
  <c r="O18" i="6"/>
  <c r="N18" i="10" s="1"/>
  <c r="P18" i="6"/>
  <c r="O18" i="10" s="1"/>
  <c r="P48" i="6"/>
  <c r="O48" i="10" s="1"/>
  <c r="Q48" i="6"/>
  <c r="P48" i="10" s="1"/>
  <c r="M48" i="6"/>
  <c r="L48" i="10" s="1"/>
  <c r="N48" i="6"/>
  <c r="M48" i="10" s="1"/>
  <c r="O48" i="6"/>
  <c r="N48" i="10" s="1"/>
  <c r="N74" i="6"/>
  <c r="M74" i="10" s="1"/>
  <c r="O74" i="6"/>
  <c r="N74" i="10" s="1"/>
  <c r="P74" i="6"/>
  <c r="O74" i="10" s="1"/>
  <c r="Q74" i="6"/>
  <c r="P74" i="10" s="1"/>
  <c r="M74" i="6"/>
  <c r="L74" i="10" s="1"/>
  <c r="N50" i="6"/>
  <c r="M50" i="10" s="1"/>
  <c r="O50" i="6"/>
  <c r="N50" i="10" s="1"/>
  <c r="P50" i="6"/>
  <c r="O50" i="10" s="1"/>
  <c r="Q50" i="6"/>
  <c r="P50" i="10" s="1"/>
  <c r="M50" i="6"/>
  <c r="L50" i="10" s="1"/>
  <c r="M24" i="6"/>
  <c r="L24" i="10" s="1"/>
  <c r="N24" i="6"/>
  <c r="M24" i="10" s="1"/>
  <c r="O24" i="6"/>
  <c r="N24" i="10" s="1"/>
  <c r="P24" i="6"/>
  <c r="O24" i="10" s="1"/>
  <c r="Q24" i="6"/>
  <c r="P24" i="10" s="1"/>
  <c r="O144" i="6"/>
  <c r="N144" i="10" s="1"/>
  <c r="P144" i="6"/>
  <c r="O144" i="10" s="1"/>
  <c r="Q144" i="6"/>
  <c r="P144" i="10" s="1"/>
  <c r="N144" i="6"/>
  <c r="M144" i="10" s="1"/>
  <c r="M144" i="6"/>
  <c r="L144" i="10" s="1"/>
  <c r="M150" i="6"/>
  <c r="L150" i="10" s="1"/>
  <c r="P150" i="6"/>
  <c r="O150" i="10" s="1"/>
  <c r="O150" i="6"/>
  <c r="N150" i="10" s="1"/>
  <c r="N150" i="6"/>
  <c r="M150" i="10" s="1"/>
  <c r="Q150" i="6"/>
  <c r="P150" i="10" s="1"/>
  <c r="O126" i="6"/>
  <c r="N126" i="10" s="1"/>
  <c r="Q126" i="6"/>
  <c r="P126" i="10" s="1"/>
  <c r="P126" i="6"/>
  <c r="O126" i="10" s="1"/>
  <c r="M126" i="6"/>
  <c r="L126" i="10" s="1"/>
  <c r="N126" i="6"/>
  <c r="M126" i="10" s="1"/>
  <c r="M102" i="6"/>
  <c r="L102" i="10" s="1"/>
  <c r="N102" i="6"/>
  <c r="M102" i="10" s="1"/>
  <c r="O102" i="6"/>
  <c r="N102" i="10" s="1"/>
  <c r="P102" i="6"/>
  <c r="O102" i="10" s="1"/>
  <c r="Q102" i="6"/>
  <c r="P102" i="10" s="1"/>
  <c r="P78" i="6"/>
  <c r="O78" i="10" s="1"/>
  <c r="Q78" i="6"/>
  <c r="P78" i="10" s="1"/>
  <c r="M78" i="6"/>
  <c r="L78" i="10" s="1"/>
  <c r="N78" i="6"/>
  <c r="M78" i="10" s="1"/>
  <c r="O78" i="6"/>
  <c r="N78" i="10" s="1"/>
  <c r="P54" i="6"/>
  <c r="O54" i="10" s="1"/>
  <c r="Q54" i="6"/>
  <c r="P54" i="10" s="1"/>
  <c r="M54" i="6"/>
  <c r="L54" i="10" s="1"/>
  <c r="N54" i="6"/>
  <c r="M54" i="10" s="1"/>
  <c r="O54" i="6"/>
  <c r="N54" i="10" s="1"/>
  <c r="N30" i="6"/>
  <c r="M30" i="10" s="1"/>
  <c r="O30" i="6"/>
  <c r="N30" i="10" s="1"/>
  <c r="P30" i="6"/>
  <c r="O30" i="10" s="1"/>
  <c r="Q30" i="6"/>
  <c r="P30" i="10" s="1"/>
  <c r="M30" i="6"/>
  <c r="L30" i="10" s="1"/>
  <c r="M6" i="6"/>
  <c r="L6" i="10" s="1"/>
  <c r="N6" i="6"/>
  <c r="M6" i="10" s="1"/>
  <c r="O6" i="6"/>
  <c r="N6" i="10" s="1"/>
  <c r="P6" i="6"/>
  <c r="O6" i="10" s="1"/>
  <c r="Q6" i="6"/>
  <c r="P6" i="10" s="1"/>
  <c r="Q120" i="6"/>
  <c r="P120" i="10" s="1"/>
  <c r="P120" i="6"/>
  <c r="O120" i="10" s="1"/>
  <c r="M120" i="6"/>
  <c r="L120" i="10" s="1"/>
  <c r="N120" i="6"/>
  <c r="M120" i="10" s="1"/>
  <c r="O120" i="6"/>
  <c r="N120" i="10" s="1"/>
  <c r="O149" i="6"/>
  <c r="N149" i="10" s="1"/>
  <c r="N149" i="6"/>
  <c r="M149" i="10" s="1"/>
  <c r="Q149" i="6"/>
  <c r="P149" i="10" s="1"/>
  <c r="P149" i="6"/>
  <c r="O149" i="10" s="1"/>
  <c r="M149" i="6"/>
  <c r="L149" i="10" s="1"/>
  <c r="Q125" i="6"/>
  <c r="P125" i="10" s="1"/>
  <c r="M125" i="6"/>
  <c r="L125" i="10" s="1"/>
  <c r="N125" i="6"/>
  <c r="M125" i="10" s="1"/>
  <c r="O125" i="6"/>
  <c r="N125" i="10" s="1"/>
  <c r="P125" i="6"/>
  <c r="O125" i="10" s="1"/>
  <c r="O101" i="6"/>
  <c r="N101" i="10" s="1"/>
  <c r="Q101" i="6"/>
  <c r="P101" i="10" s="1"/>
  <c r="N101" i="6"/>
  <c r="M101" i="10" s="1"/>
  <c r="P101" i="6"/>
  <c r="O101" i="10" s="1"/>
  <c r="M101" i="6"/>
  <c r="L101" i="10" s="1"/>
  <c r="M77" i="6"/>
  <c r="L77" i="10" s="1"/>
  <c r="N77" i="6"/>
  <c r="M77" i="10" s="1"/>
  <c r="O77" i="6"/>
  <c r="N77" i="10" s="1"/>
  <c r="P77" i="6"/>
  <c r="O77" i="10" s="1"/>
  <c r="Q77" i="6"/>
  <c r="P77" i="10" s="1"/>
  <c r="N53" i="6"/>
  <c r="M53" i="10" s="1"/>
  <c r="O53" i="6"/>
  <c r="N53" i="10" s="1"/>
  <c r="P53" i="6"/>
  <c r="O53" i="10" s="1"/>
  <c r="M53" i="6"/>
  <c r="L53" i="10" s="1"/>
  <c r="Q53" i="6"/>
  <c r="P53" i="10" s="1"/>
  <c r="N29" i="6"/>
  <c r="M29" i="10" s="1"/>
  <c r="O29" i="6"/>
  <c r="N29" i="10" s="1"/>
  <c r="P29" i="6"/>
  <c r="O29" i="10" s="1"/>
  <c r="Q29" i="6"/>
  <c r="P29" i="10" s="1"/>
  <c r="M29" i="6"/>
  <c r="L29" i="10" s="1"/>
  <c r="N5" i="6"/>
  <c r="M5" i="10" s="1"/>
  <c r="O5" i="6"/>
  <c r="N5" i="10" s="1"/>
  <c r="P5" i="6"/>
  <c r="O5" i="10" s="1"/>
  <c r="Q5" i="6"/>
  <c r="P5" i="10" s="1"/>
  <c r="M5" i="6"/>
  <c r="L5" i="10" s="1"/>
  <c r="M41" i="6"/>
  <c r="L41" i="10" s="1"/>
  <c r="N41" i="6"/>
  <c r="M41" i="10" s="1"/>
  <c r="O41" i="6"/>
  <c r="N41" i="10" s="1"/>
  <c r="P41" i="6"/>
  <c r="O41" i="10" s="1"/>
  <c r="Q41" i="6"/>
  <c r="P41" i="10" s="1"/>
  <c r="M152" i="6"/>
  <c r="L152" i="10" s="1"/>
  <c r="N152" i="6"/>
  <c r="M152" i="10" s="1"/>
  <c r="O152" i="6"/>
  <c r="N152" i="10" s="1"/>
  <c r="P152" i="6"/>
  <c r="O152" i="10" s="1"/>
  <c r="Q152" i="6"/>
  <c r="P152" i="10" s="1"/>
  <c r="M128" i="6"/>
  <c r="L128" i="10" s="1"/>
  <c r="N128" i="6"/>
  <c r="M128" i="10" s="1"/>
  <c r="O128" i="6"/>
  <c r="N128" i="10" s="1"/>
  <c r="P128" i="6"/>
  <c r="O128" i="10" s="1"/>
  <c r="Q128" i="6"/>
  <c r="P128" i="10" s="1"/>
  <c r="P104" i="6"/>
  <c r="O104" i="10" s="1"/>
  <c r="M104" i="6"/>
  <c r="L104" i="10" s="1"/>
  <c r="N104" i="6"/>
  <c r="M104" i="10" s="1"/>
  <c r="O104" i="6"/>
  <c r="N104" i="10" s="1"/>
  <c r="Q104" i="6"/>
  <c r="P104" i="10" s="1"/>
  <c r="M80" i="6"/>
  <c r="L80" i="10" s="1"/>
  <c r="O80" i="6"/>
  <c r="N80" i="10" s="1"/>
  <c r="P80" i="6"/>
  <c r="O80" i="10" s="1"/>
  <c r="N80" i="6"/>
  <c r="M80" i="10" s="1"/>
  <c r="Q80" i="6"/>
  <c r="P80" i="10" s="1"/>
  <c r="N56" i="6"/>
  <c r="M56" i="10" s="1"/>
  <c r="O56" i="6"/>
  <c r="N56" i="10" s="1"/>
  <c r="P56" i="6"/>
  <c r="O56" i="10" s="1"/>
  <c r="Q56" i="6"/>
  <c r="P56" i="10" s="1"/>
  <c r="M56" i="6"/>
  <c r="L56" i="10" s="1"/>
  <c r="M32" i="6"/>
  <c r="L32" i="10" s="1"/>
  <c r="N32" i="6"/>
  <c r="M32" i="10" s="1"/>
  <c r="O32" i="6"/>
  <c r="N32" i="10" s="1"/>
  <c r="P32" i="6"/>
  <c r="O32" i="10" s="1"/>
  <c r="Q32" i="6"/>
  <c r="P32" i="10" s="1"/>
  <c r="P8" i="6"/>
  <c r="O8" i="10" s="1"/>
  <c r="Q8" i="6"/>
  <c r="P8" i="10" s="1"/>
  <c r="M8" i="6"/>
  <c r="L8" i="10" s="1"/>
  <c r="N8" i="6"/>
  <c r="M8" i="10" s="1"/>
  <c r="O8" i="6"/>
  <c r="N8" i="10" s="1"/>
  <c r="P151" i="6"/>
  <c r="O151" i="10" s="1"/>
  <c r="Q151" i="6"/>
  <c r="P151" i="10" s="1"/>
  <c r="M151" i="6"/>
  <c r="L151" i="10" s="1"/>
  <c r="N151" i="6"/>
  <c r="M151" i="10" s="1"/>
  <c r="O151" i="6"/>
  <c r="N151" i="10" s="1"/>
  <c r="Q127" i="6"/>
  <c r="P127" i="10" s="1"/>
  <c r="M127" i="6"/>
  <c r="L127" i="10" s="1"/>
  <c r="N127" i="6"/>
  <c r="M127" i="10" s="1"/>
  <c r="O127" i="6"/>
  <c r="N127" i="10" s="1"/>
  <c r="P127" i="6"/>
  <c r="O127" i="10" s="1"/>
  <c r="N103" i="6"/>
  <c r="M103" i="10" s="1"/>
  <c r="P103" i="6"/>
  <c r="O103" i="10" s="1"/>
  <c r="O103" i="6"/>
  <c r="N103" i="10" s="1"/>
  <c r="M103" i="6"/>
  <c r="L103" i="10" s="1"/>
  <c r="Q103" i="6"/>
  <c r="P103" i="10" s="1"/>
  <c r="O79" i="6"/>
  <c r="N79" i="10" s="1"/>
  <c r="P79" i="6"/>
  <c r="O79" i="10" s="1"/>
  <c r="Q79" i="6"/>
  <c r="P79" i="10" s="1"/>
  <c r="M79" i="6"/>
  <c r="L79" i="10" s="1"/>
  <c r="N79" i="6"/>
  <c r="M79" i="10" s="1"/>
  <c r="M55" i="6"/>
  <c r="L55" i="10" s="1"/>
  <c r="N55" i="6"/>
  <c r="M55" i="10" s="1"/>
  <c r="O55" i="6"/>
  <c r="N55" i="10" s="1"/>
  <c r="P55" i="6"/>
  <c r="O55" i="10" s="1"/>
  <c r="Q55" i="6"/>
  <c r="P55" i="10" s="1"/>
  <c r="M31" i="6"/>
  <c r="L31" i="10" s="1"/>
  <c r="N31" i="6"/>
  <c r="M31" i="10" s="1"/>
  <c r="O31" i="6"/>
  <c r="N31" i="10" s="1"/>
  <c r="P31" i="6"/>
  <c r="O31" i="10" s="1"/>
  <c r="Q31" i="6"/>
  <c r="P31" i="10" s="1"/>
  <c r="O7" i="6"/>
  <c r="N7" i="10" s="1"/>
  <c r="Q7" i="6"/>
  <c r="P7" i="10" s="1"/>
  <c r="P7" i="6"/>
  <c r="O7" i="10" s="1"/>
  <c r="M7" i="6"/>
  <c r="L7" i="10" s="1"/>
  <c r="N7" i="6"/>
  <c r="M7" i="10" s="1"/>
  <c r="M145" i="6"/>
  <c r="L145" i="10" s="1"/>
  <c r="N145" i="6"/>
  <c r="M145" i="10" s="1"/>
  <c r="O145" i="6"/>
  <c r="N145" i="10" s="1"/>
  <c r="P145" i="6"/>
  <c r="O145" i="10" s="1"/>
  <c r="Q145" i="6"/>
  <c r="P145" i="10" s="1"/>
  <c r="M121" i="6"/>
  <c r="L121" i="10" s="1"/>
  <c r="N121" i="6"/>
  <c r="M121" i="10" s="1"/>
  <c r="P121" i="6"/>
  <c r="O121" i="10" s="1"/>
  <c r="Q121" i="6"/>
  <c r="P121" i="10" s="1"/>
  <c r="O121" i="6"/>
  <c r="N121" i="10" s="1"/>
  <c r="N97" i="6"/>
  <c r="M97" i="10" s="1"/>
  <c r="Q97" i="6"/>
  <c r="P97" i="10" s="1"/>
  <c r="M97" i="6"/>
  <c r="L97" i="10" s="1"/>
  <c r="O97" i="6"/>
  <c r="N97" i="10" s="1"/>
  <c r="P97" i="6"/>
  <c r="O97" i="10" s="1"/>
  <c r="M73" i="6"/>
  <c r="L73" i="10" s="1"/>
  <c r="N73" i="6"/>
  <c r="M73" i="10" s="1"/>
  <c r="O73" i="6"/>
  <c r="N73" i="10" s="1"/>
  <c r="P73" i="6"/>
  <c r="O73" i="10" s="1"/>
  <c r="Q73" i="6"/>
  <c r="P73" i="10" s="1"/>
  <c r="O49" i="6"/>
  <c r="N49" i="10" s="1"/>
  <c r="P49" i="6"/>
  <c r="O49" i="10" s="1"/>
  <c r="Q49" i="6"/>
  <c r="P49" i="10" s="1"/>
  <c r="M49" i="6"/>
  <c r="L49" i="10" s="1"/>
  <c r="N49" i="6"/>
  <c r="M49" i="10" s="1"/>
  <c r="O25" i="6"/>
  <c r="N25" i="10" s="1"/>
  <c r="P25" i="6"/>
  <c r="O25" i="10" s="1"/>
  <c r="Q25" i="6"/>
  <c r="P25" i="10" s="1"/>
  <c r="M25" i="6"/>
  <c r="L25" i="10" s="1"/>
  <c r="N25" i="6"/>
  <c r="M25" i="10" s="1"/>
  <c r="N143" i="6"/>
  <c r="M143" i="10" s="1"/>
  <c r="M143" i="6"/>
  <c r="L143" i="10" s="1"/>
  <c r="O143" i="6"/>
  <c r="N143" i="10" s="1"/>
  <c r="P143" i="6"/>
  <c r="O143" i="10" s="1"/>
  <c r="Q143" i="6"/>
  <c r="P143" i="10" s="1"/>
  <c r="N119" i="6"/>
  <c r="M119" i="10" s="1"/>
  <c r="O119" i="6"/>
  <c r="N119" i="10" s="1"/>
  <c r="M119" i="6"/>
  <c r="L119" i="10" s="1"/>
  <c r="P119" i="6"/>
  <c r="O119" i="10" s="1"/>
  <c r="Q119" i="6"/>
  <c r="P119" i="10" s="1"/>
  <c r="Q95" i="6"/>
  <c r="P95" i="10" s="1"/>
  <c r="O95" i="6"/>
  <c r="N95" i="10" s="1"/>
  <c r="P95" i="6"/>
  <c r="O95" i="10" s="1"/>
  <c r="M95" i="6"/>
  <c r="L95" i="10" s="1"/>
  <c r="N95" i="6"/>
  <c r="M95" i="10" s="1"/>
  <c r="Q71" i="6"/>
  <c r="P71" i="10" s="1"/>
  <c r="M71" i="6"/>
  <c r="L71" i="10" s="1"/>
  <c r="N71" i="6"/>
  <c r="M71" i="10" s="1"/>
  <c r="O71" i="6"/>
  <c r="N71" i="10" s="1"/>
  <c r="P71" i="6"/>
  <c r="O71" i="10" s="1"/>
  <c r="O47" i="6"/>
  <c r="N47" i="10" s="1"/>
  <c r="P47" i="6"/>
  <c r="O47" i="10" s="1"/>
  <c r="Q47" i="6"/>
  <c r="P47" i="10" s="1"/>
  <c r="M47" i="6"/>
  <c r="L47" i="10" s="1"/>
  <c r="N47" i="6"/>
  <c r="M47" i="10" s="1"/>
  <c r="N23" i="6"/>
  <c r="M23" i="10" s="1"/>
  <c r="O23" i="6"/>
  <c r="N23" i="10" s="1"/>
  <c r="P23" i="6"/>
  <c r="O23" i="10" s="1"/>
  <c r="Q23" i="6"/>
  <c r="P23" i="10" s="1"/>
  <c r="M23" i="6"/>
  <c r="L23" i="10" s="1"/>
  <c r="O142" i="6"/>
  <c r="N142" i="10" s="1"/>
  <c r="M142" i="6"/>
  <c r="L142" i="10" s="1"/>
  <c r="N142" i="6"/>
  <c r="M142" i="10" s="1"/>
  <c r="P142" i="6"/>
  <c r="O142" i="10" s="1"/>
  <c r="Q142" i="6"/>
  <c r="P142" i="10" s="1"/>
  <c r="P118" i="6"/>
  <c r="O118" i="10" s="1"/>
  <c r="M118" i="6"/>
  <c r="L118" i="10" s="1"/>
  <c r="N118" i="6"/>
  <c r="M118" i="10" s="1"/>
  <c r="O118" i="6"/>
  <c r="N118" i="10" s="1"/>
  <c r="Q118" i="6"/>
  <c r="P118" i="10" s="1"/>
  <c r="N94" i="6"/>
  <c r="M94" i="10" s="1"/>
  <c r="O94" i="6"/>
  <c r="N94" i="10" s="1"/>
  <c r="M94" i="6"/>
  <c r="L94" i="10" s="1"/>
  <c r="P94" i="6"/>
  <c r="O94" i="10" s="1"/>
  <c r="Q94" i="6"/>
  <c r="P94" i="10" s="1"/>
  <c r="Q70" i="6"/>
  <c r="P70" i="10" s="1"/>
  <c r="M70" i="6"/>
  <c r="L70" i="10" s="1"/>
  <c r="N70" i="6"/>
  <c r="M70" i="10" s="1"/>
  <c r="O70" i="6"/>
  <c r="N70" i="10" s="1"/>
  <c r="P70" i="6"/>
  <c r="O70" i="10" s="1"/>
  <c r="Q46" i="6"/>
  <c r="P46" i="10" s="1"/>
  <c r="M46" i="6"/>
  <c r="L46" i="10" s="1"/>
  <c r="N46" i="6"/>
  <c r="M46" i="10" s="1"/>
  <c r="O46" i="6"/>
  <c r="N46" i="10" s="1"/>
  <c r="P46" i="6"/>
  <c r="O46" i="10" s="1"/>
  <c r="M22" i="6"/>
  <c r="L22" i="10" s="1"/>
  <c r="O22" i="6"/>
  <c r="N22" i="10" s="1"/>
  <c r="P22" i="6"/>
  <c r="O22" i="10" s="1"/>
  <c r="Q22" i="6"/>
  <c r="P22" i="10" s="1"/>
  <c r="N22" i="6"/>
  <c r="M22" i="10" s="1"/>
  <c r="N116" i="6"/>
  <c r="M116" i="10" s="1"/>
  <c r="O116" i="6"/>
  <c r="N116" i="10" s="1"/>
  <c r="P116" i="6"/>
  <c r="O116" i="10" s="1"/>
  <c r="Q116" i="6"/>
  <c r="P116" i="10" s="1"/>
  <c r="M116" i="6"/>
  <c r="L116" i="10" s="1"/>
  <c r="Q92" i="6"/>
  <c r="P92" i="10" s="1"/>
  <c r="M92" i="6"/>
  <c r="L92" i="10" s="1"/>
  <c r="N92" i="6"/>
  <c r="M92" i="10" s="1"/>
  <c r="O92" i="6"/>
  <c r="N92" i="10" s="1"/>
  <c r="P92" i="6"/>
  <c r="O92" i="10" s="1"/>
  <c r="M44" i="6"/>
  <c r="L44" i="10" s="1"/>
  <c r="O44" i="6"/>
  <c r="N44" i="10" s="1"/>
  <c r="P44" i="6"/>
  <c r="O44" i="10" s="1"/>
  <c r="Q44" i="6"/>
  <c r="P44" i="10" s="1"/>
  <c r="N44" i="6"/>
  <c r="M44" i="10" s="1"/>
  <c r="M20" i="6"/>
  <c r="L20" i="10" s="1"/>
  <c r="N20" i="6"/>
  <c r="M20" i="10" s="1"/>
  <c r="O20" i="6"/>
  <c r="N20" i="10" s="1"/>
  <c r="P20" i="6"/>
  <c r="O20" i="10" s="1"/>
  <c r="Q20" i="6"/>
  <c r="P20" i="10" s="1"/>
  <c r="N140" i="6"/>
  <c r="M140" i="10" s="1"/>
  <c r="Q140" i="6"/>
  <c r="P140" i="10" s="1"/>
  <c r="O140" i="6"/>
  <c r="N140" i="10" s="1"/>
  <c r="P140" i="6"/>
  <c r="O140" i="10" s="1"/>
  <c r="M140" i="6"/>
  <c r="L140" i="10" s="1"/>
  <c r="Q68" i="6"/>
  <c r="P68" i="10" s="1"/>
  <c r="P68" i="6"/>
  <c r="O68" i="10" s="1"/>
  <c r="M68" i="6"/>
  <c r="L68" i="10" s="1"/>
  <c r="N68" i="6"/>
  <c r="M68" i="10" s="1"/>
  <c r="O68" i="6"/>
  <c r="N68" i="10" s="1"/>
  <c r="O139" i="6"/>
  <c r="N139" i="10" s="1"/>
  <c r="M139" i="6"/>
  <c r="L139" i="10" s="1"/>
  <c r="N139" i="6"/>
  <c r="M139" i="10" s="1"/>
  <c r="P139" i="6"/>
  <c r="O139" i="10" s="1"/>
  <c r="Q139" i="6"/>
  <c r="P139" i="10" s="1"/>
  <c r="P115" i="6"/>
  <c r="O115" i="10" s="1"/>
  <c r="M115" i="6"/>
  <c r="L115" i="10" s="1"/>
  <c r="N115" i="6"/>
  <c r="M115" i="10" s="1"/>
  <c r="O115" i="6"/>
  <c r="N115" i="10" s="1"/>
  <c r="Q115" i="6"/>
  <c r="P115" i="10" s="1"/>
  <c r="N91" i="6"/>
  <c r="M91" i="10" s="1"/>
  <c r="O91" i="6"/>
  <c r="N91" i="10" s="1"/>
  <c r="Q91" i="6"/>
  <c r="P91" i="10" s="1"/>
  <c r="M91" i="6"/>
  <c r="L91" i="10" s="1"/>
  <c r="P91" i="6"/>
  <c r="O91" i="10" s="1"/>
  <c r="Q67" i="6"/>
  <c r="P67" i="10" s="1"/>
  <c r="M67" i="6"/>
  <c r="L67" i="10" s="1"/>
  <c r="N67" i="6"/>
  <c r="M67" i="10" s="1"/>
  <c r="O67" i="6"/>
  <c r="N67" i="10" s="1"/>
  <c r="P67" i="6"/>
  <c r="O67" i="10" s="1"/>
  <c r="Q43" i="6"/>
  <c r="P43" i="10" s="1"/>
  <c r="N43" i="6"/>
  <c r="M43" i="10" s="1"/>
  <c r="O43" i="6"/>
  <c r="N43" i="10" s="1"/>
  <c r="P43" i="6"/>
  <c r="O43" i="10" s="1"/>
  <c r="M43" i="6"/>
  <c r="L43" i="10" s="1"/>
  <c r="M19" i="6"/>
  <c r="L19" i="10" s="1"/>
  <c r="O19" i="6"/>
  <c r="N19" i="10" s="1"/>
  <c r="P19" i="6"/>
  <c r="O19" i="10" s="1"/>
  <c r="Q19" i="6"/>
  <c r="P19" i="10" s="1"/>
  <c r="N19" i="6"/>
  <c r="M19" i="10" s="1"/>
  <c r="M137" i="6"/>
  <c r="L137" i="10" s="1"/>
  <c r="N137" i="6"/>
  <c r="M137" i="10" s="1"/>
  <c r="O137" i="6"/>
  <c r="N137" i="10" s="1"/>
  <c r="P137" i="6"/>
  <c r="O137" i="10" s="1"/>
  <c r="Q137" i="6"/>
  <c r="P137" i="10" s="1"/>
  <c r="Q17" i="6"/>
  <c r="P17" i="10" s="1"/>
  <c r="M17" i="6"/>
  <c r="L17" i="10" s="1"/>
  <c r="O17" i="6"/>
  <c r="N17" i="10" s="1"/>
  <c r="N17" i="6"/>
  <c r="M17" i="10" s="1"/>
  <c r="P17" i="6"/>
  <c r="O17" i="10" s="1"/>
  <c r="M136" i="6"/>
  <c r="L136" i="10" s="1"/>
  <c r="O136" i="6"/>
  <c r="N136" i="10" s="1"/>
  <c r="P136" i="6"/>
  <c r="O136" i="10" s="1"/>
  <c r="N136" i="6"/>
  <c r="M136" i="10" s="1"/>
  <c r="Q136" i="6"/>
  <c r="P136" i="10" s="1"/>
  <c r="M112" i="6"/>
  <c r="L112" i="10" s="1"/>
  <c r="O112" i="6"/>
  <c r="N112" i="10" s="1"/>
  <c r="P112" i="6"/>
  <c r="O112" i="10" s="1"/>
  <c r="N112" i="6"/>
  <c r="M112" i="10" s="1"/>
  <c r="Q112" i="6"/>
  <c r="P112" i="10" s="1"/>
  <c r="M88" i="6"/>
  <c r="L88" i="10" s="1"/>
  <c r="N88" i="6"/>
  <c r="M88" i="10" s="1"/>
  <c r="O88" i="6"/>
  <c r="N88" i="10" s="1"/>
  <c r="P88" i="6"/>
  <c r="O88" i="10" s="1"/>
  <c r="Q88" i="6"/>
  <c r="P88" i="10" s="1"/>
  <c r="M64" i="6"/>
  <c r="L64" i="10" s="1"/>
  <c r="N64" i="6"/>
  <c r="M64" i="10" s="1"/>
  <c r="O64" i="6"/>
  <c r="N64" i="10" s="1"/>
  <c r="P64" i="6"/>
  <c r="O64" i="10" s="1"/>
  <c r="Q64" i="6"/>
  <c r="P64" i="10" s="1"/>
  <c r="M40" i="6"/>
  <c r="L40" i="10" s="1"/>
  <c r="N40" i="6"/>
  <c r="M40" i="10" s="1"/>
  <c r="O40" i="6"/>
  <c r="N40" i="10" s="1"/>
  <c r="Q40" i="6"/>
  <c r="P40" i="10" s="1"/>
  <c r="P40" i="6"/>
  <c r="O40" i="10" s="1"/>
  <c r="M16" i="6"/>
  <c r="L16" i="10" s="1"/>
  <c r="N16" i="6"/>
  <c r="M16" i="10" s="1"/>
  <c r="O16" i="6"/>
  <c r="N16" i="10" s="1"/>
  <c r="P16" i="6"/>
  <c r="O16" i="10" s="1"/>
  <c r="Q16" i="6"/>
  <c r="P16" i="10" s="1"/>
  <c r="Q3" i="6"/>
  <c r="P3" i="10" s="1"/>
  <c r="O135" i="6"/>
  <c r="N135" i="10" s="1"/>
  <c r="N135" i="6"/>
  <c r="M135" i="10" s="1"/>
  <c r="P135" i="6"/>
  <c r="O135" i="10" s="1"/>
  <c r="Q135" i="6"/>
  <c r="P135" i="10" s="1"/>
  <c r="M135" i="6"/>
  <c r="L135" i="10" s="1"/>
  <c r="O111" i="6"/>
  <c r="N111" i="10" s="1"/>
  <c r="M111" i="6"/>
  <c r="L111" i="10" s="1"/>
  <c r="P111" i="6"/>
  <c r="O111" i="10" s="1"/>
  <c r="N111" i="6"/>
  <c r="M111" i="10" s="1"/>
  <c r="Q111" i="6"/>
  <c r="P111" i="10" s="1"/>
  <c r="N87" i="6"/>
  <c r="M87" i="10" s="1"/>
  <c r="O87" i="6"/>
  <c r="N87" i="10" s="1"/>
  <c r="M87" i="6"/>
  <c r="L87" i="10" s="1"/>
  <c r="P87" i="6"/>
  <c r="O87" i="10" s="1"/>
  <c r="Q87" i="6"/>
  <c r="P87" i="10" s="1"/>
  <c r="Q63" i="6"/>
  <c r="P63" i="10" s="1"/>
  <c r="M63" i="6"/>
  <c r="L63" i="10" s="1"/>
  <c r="N63" i="6"/>
  <c r="M63" i="10" s="1"/>
  <c r="O63" i="6"/>
  <c r="N63" i="10" s="1"/>
  <c r="P63" i="6"/>
  <c r="O63" i="10" s="1"/>
  <c r="Q39" i="6"/>
  <c r="P39" i="10" s="1"/>
  <c r="M39" i="6"/>
  <c r="L39" i="10" s="1"/>
  <c r="N39" i="6"/>
  <c r="M39" i="10" s="1"/>
  <c r="O39" i="6"/>
  <c r="N39" i="10" s="1"/>
  <c r="P39" i="6"/>
  <c r="O39" i="10" s="1"/>
  <c r="P15" i="6"/>
  <c r="O15" i="10" s="1"/>
  <c r="Q15" i="6"/>
  <c r="P15" i="10" s="1"/>
  <c r="M15" i="6"/>
  <c r="L15" i="10" s="1"/>
  <c r="N15" i="6"/>
  <c r="M15" i="10" s="1"/>
  <c r="O15" i="6"/>
  <c r="N15" i="10" s="1"/>
  <c r="M134" i="6"/>
  <c r="L134" i="10" s="1"/>
  <c r="N134" i="6"/>
  <c r="M134" i="10" s="1"/>
  <c r="O134" i="6"/>
  <c r="N134" i="10" s="1"/>
  <c r="Q134" i="6"/>
  <c r="P134" i="10" s="1"/>
  <c r="P134" i="6"/>
  <c r="O134" i="10" s="1"/>
  <c r="M110" i="6"/>
  <c r="L110" i="10" s="1"/>
  <c r="N110" i="6"/>
  <c r="M110" i="10" s="1"/>
  <c r="Q110" i="6"/>
  <c r="P110" i="10" s="1"/>
  <c r="O110" i="6"/>
  <c r="N110" i="10" s="1"/>
  <c r="P110" i="6"/>
  <c r="O110" i="10" s="1"/>
  <c r="O86" i="6"/>
  <c r="N86" i="10" s="1"/>
  <c r="M86" i="6"/>
  <c r="L86" i="10" s="1"/>
  <c r="N86" i="6"/>
  <c r="M86" i="10" s="1"/>
  <c r="P86" i="6"/>
  <c r="O86" i="10" s="1"/>
  <c r="Q86" i="6"/>
  <c r="P86" i="10" s="1"/>
  <c r="M62" i="6"/>
  <c r="L62" i="10" s="1"/>
  <c r="N62" i="6"/>
  <c r="M62" i="10" s="1"/>
  <c r="Q62" i="6"/>
  <c r="P62" i="10" s="1"/>
  <c r="O62" i="6"/>
  <c r="N62" i="10" s="1"/>
  <c r="P62" i="6"/>
  <c r="O62" i="10" s="1"/>
  <c r="P38" i="6"/>
  <c r="O38" i="10" s="1"/>
  <c r="Q38" i="6"/>
  <c r="P38" i="10" s="1"/>
  <c r="M38" i="6"/>
  <c r="L38" i="10" s="1"/>
  <c r="N38" i="6"/>
  <c r="M38" i="10" s="1"/>
  <c r="O38" i="6"/>
  <c r="N38" i="10" s="1"/>
  <c r="O14" i="6"/>
  <c r="N14" i="10" s="1"/>
  <c r="P14" i="6"/>
  <c r="O14" i="10" s="1"/>
  <c r="Q14" i="6"/>
  <c r="P14" i="10" s="1"/>
  <c r="M14" i="6"/>
  <c r="L14" i="10" s="1"/>
  <c r="N14" i="6"/>
  <c r="M14" i="10" s="1"/>
  <c r="N157" i="6"/>
  <c r="M157" i="10" s="1"/>
  <c r="M157" i="6"/>
  <c r="L157" i="10" s="1"/>
  <c r="Q157" i="6"/>
  <c r="P157" i="10" s="1"/>
  <c r="O157" i="6"/>
  <c r="N157" i="10" s="1"/>
  <c r="P157" i="6"/>
  <c r="O157" i="10" s="1"/>
  <c r="M133" i="6"/>
  <c r="L133" i="10" s="1"/>
  <c r="N133" i="6"/>
  <c r="M133" i="10" s="1"/>
  <c r="O133" i="6"/>
  <c r="N133" i="10" s="1"/>
  <c r="P133" i="6"/>
  <c r="O133" i="10" s="1"/>
  <c r="Q133" i="6"/>
  <c r="P133" i="10" s="1"/>
  <c r="M109" i="6"/>
  <c r="L109" i="10" s="1"/>
  <c r="N109" i="6"/>
  <c r="M109" i="10" s="1"/>
  <c r="O109" i="6"/>
  <c r="N109" i="10" s="1"/>
  <c r="P109" i="6"/>
  <c r="O109" i="10" s="1"/>
  <c r="Q109" i="6"/>
  <c r="P109" i="10" s="1"/>
  <c r="M85" i="6"/>
  <c r="L85" i="10" s="1"/>
  <c r="N85" i="6"/>
  <c r="M85" i="10" s="1"/>
  <c r="O85" i="6"/>
  <c r="N85" i="10" s="1"/>
  <c r="Q85" i="6"/>
  <c r="P85" i="10" s="1"/>
  <c r="P85" i="6"/>
  <c r="O85" i="10" s="1"/>
  <c r="M61" i="6"/>
  <c r="L61" i="10" s="1"/>
  <c r="N61" i="6"/>
  <c r="M61" i="10" s="1"/>
  <c r="O61" i="6"/>
  <c r="N61" i="10" s="1"/>
  <c r="P61" i="6"/>
  <c r="O61" i="10" s="1"/>
  <c r="Q61" i="6"/>
  <c r="P61" i="10" s="1"/>
  <c r="M37" i="6"/>
  <c r="L37" i="10" s="1"/>
  <c r="N37" i="6"/>
  <c r="M37" i="10" s="1"/>
  <c r="O37" i="6"/>
  <c r="N37" i="10" s="1"/>
  <c r="P37" i="6"/>
  <c r="O37" i="10" s="1"/>
  <c r="Q37" i="6"/>
  <c r="P37" i="10" s="1"/>
  <c r="M13" i="6"/>
  <c r="L13" i="10" s="1"/>
  <c r="N13" i="6"/>
  <c r="M13" i="10" s="1"/>
  <c r="O13" i="6"/>
  <c r="N13" i="10" s="1"/>
  <c r="P13" i="6"/>
  <c r="O13" i="10" s="1"/>
  <c r="Q13" i="6"/>
  <c r="P13" i="10" s="1"/>
  <c r="M113" i="6"/>
  <c r="L113" i="10" s="1"/>
  <c r="N113" i="6"/>
  <c r="M113" i="10" s="1"/>
  <c r="O113" i="6"/>
  <c r="N113" i="10" s="1"/>
  <c r="P113" i="6"/>
  <c r="O113" i="10" s="1"/>
  <c r="Q113" i="6"/>
  <c r="P113" i="10" s="1"/>
  <c r="M156" i="6"/>
  <c r="L156" i="10" s="1"/>
  <c r="P156" i="6"/>
  <c r="O156" i="10" s="1"/>
  <c r="N156" i="6"/>
  <c r="M156" i="10" s="1"/>
  <c r="O156" i="6"/>
  <c r="N156" i="10" s="1"/>
  <c r="Q156" i="6"/>
  <c r="P156" i="10" s="1"/>
  <c r="O132" i="6"/>
  <c r="N132" i="10" s="1"/>
  <c r="Q132" i="6"/>
  <c r="P132" i="10" s="1"/>
  <c r="M132" i="6"/>
  <c r="L132" i="10" s="1"/>
  <c r="N132" i="6"/>
  <c r="M132" i="10" s="1"/>
  <c r="P132" i="6"/>
  <c r="O132" i="10" s="1"/>
  <c r="N108" i="6"/>
  <c r="M108" i="10" s="1"/>
  <c r="O108" i="6"/>
  <c r="N108" i="10" s="1"/>
  <c r="M108" i="6"/>
  <c r="L108" i="10" s="1"/>
  <c r="P108" i="6"/>
  <c r="O108" i="10" s="1"/>
  <c r="Q108" i="6"/>
  <c r="P108" i="10" s="1"/>
  <c r="M84" i="6"/>
  <c r="L84" i="10" s="1"/>
  <c r="N84" i="6"/>
  <c r="M84" i="10" s="1"/>
  <c r="O84" i="6"/>
  <c r="N84" i="10" s="1"/>
  <c r="P84" i="6"/>
  <c r="O84" i="10" s="1"/>
  <c r="Q84" i="6"/>
  <c r="P84" i="10" s="1"/>
  <c r="M60" i="6"/>
  <c r="L60" i="10" s="1"/>
  <c r="N60" i="6"/>
  <c r="M60" i="10" s="1"/>
  <c r="O60" i="6"/>
  <c r="N60" i="10" s="1"/>
  <c r="P60" i="6"/>
  <c r="O60" i="10" s="1"/>
  <c r="Q60" i="6"/>
  <c r="P60" i="10" s="1"/>
  <c r="M36" i="6"/>
  <c r="L36" i="10" s="1"/>
  <c r="N36" i="6"/>
  <c r="M36" i="10" s="1"/>
  <c r="P36" i="6"/>
  <c r="O36" i="10" s="1"/>
  <c r="Q36" i="6"/>
  <c r="P36" i="10" s="1"/>
  <c r="O36" i="6"/>
  <c r="N36" i="10" s="1"/>
  <c r="M12" i="6"/>
  <c r="L12" i="10" s="1"/>
  <c r="N12" i="6"/>
  <c r="M12" i="10" s="1"/>
  <c r="O12" i="6"/>
  <c r="N12" i="10" s="1"/>
  <c r="Q12" i="6"/>
  <c r="P12" i="10" s="1"/>
  <c r="P12" i="6"/>
  <c r="O12" i="10" s="1"/>
  <c r="M65" i="6"/>
  <c r="L65" i="10" s="1"/>
  <c r="N65" i="6"/>
  <c r="M65" i="10" s="1"/>
  <c r="O65" i="6"/>
  <c r="N65" i="10" s="1"/>
  <c r="P65" i="6"/>
  <c r="O65" i="10" s="1"/>
  <c r="Q65" i="6"/>
  <c r="P65" i="10" s="1"/>
  <c r="M155" i="6"/>
  <c r="L155" i="10" s="1"/>
  <c r="N155" i="6"/>
  <c r="M155" i="10" s="1"/>
  <c r="O155" i="6"/>
  <c r="N155" i="10" s="1"/>
  <c r="P155" i="6"/>
  <c r="O155" i="10" s="1"/>
  <c r="Q155" i="6"/>
  <c r="P155" i="10" s="1"/>
  <c r="M131" i="6"/>
  <c r="L131" i="10" s="1"/>
  <c r="N131" i="6"/>
  <c r="M131" i="10" s="1"/>
  <c r="O131" i="6"/>
  <c r="N131" i="10" s="1"/>
  <c r="P131" i="6"/>
  <c r="O131" i="10" s="1"/>
  <c r="Q131" i="6"/>
  <c r="P131" i="10" s="1"/>
  <c r="P107" i="6"/>
  <c r="O107" i="10" s="1"/>
  <c r="M107" i="6"/>
  <c r="L107" i="10" s="1"/>
  <c r="N107" i="6"/>
  <c r="M107" i="10" s="1"/>
  <c r="O107" i="6"/>
  <c r="N107" i="10" s="1"/>
  <c r="Q107" i="6"/>
  <c r="P107" i="10" s="1"/>
  <c r="M83" i="6"/>
  <c r="L83" i="10" s="1"/>
  <c r="O83" i="6"/>
  <c r="N83" i="10" s="1"/>
  <c r="P83" i="6"/>
  <c r="O83" i="10" s="1"/>
  <c r="N83" i="6"/>
  <c r="M83" i="10" s="1"/>
  <c r="Q83" i="6"/>
  <c r="P83" i="10" s="1"/>
  <c r="M59" i="6"/>
  <c r="L59" i="10" s="1"/>
  <c r="N59" i="6"/>
  <c r="M59" i="10" s="1"/>
  <c r="O59" i="6"/>
  <c r="N59" i="10" s="1"/>
  <c r="P59" i="6"/>
  <c r="O59" i="10" s="1"/>
  <c r="Q59" i="6"/>
  <c r="P59" i="10" s="1"/>
  <c r="M35" i="6"/>
  <c r="L35" i="10" s="1"/>
  <c r="Q35" i="6"/>
  <c r="P35" i="10" s="1"/>
  <c r="O35" i="6"/>
  <c r="N35" i="10" s="1"/>
  <c r="P35" i="6"/>
  <c r="O35" i="10" s="1"/>
  <c r="N35" i="6"/>
  <c r="M35" i="10" s="1"/>
  <c r="M11" i="6"/>
  <c r="L11" i="10" s="1"/>
  <c r="N11" i="6"/>
  <c r="M11" i="10" s="1"/>
  <c r="O11" i="6"/>
  <c r="N11" i="10" s="1"/>
  <c r="P11" i="6"/>
  <c r="O11" i="10" s="1"/>
  <c r="Q11" i="6"/>
  <c r="P11" i="10" s="1"/>
  <c r="M89" i="6"/>
  <c r="L89" i="10" s="1"/>
  <c r="N89" i="6"/>
  <c r="M89" i="10" s="1"/>
  <c r="O89" i="6"/>
  <c r="N89" i="10" s="1"/>
  <c r="P89" i="6"/>
  <c r="O89" i="10" s="1"/>
  <c r="Q89" i="6"/>
  <c r="P89" i="10" s="1"/>
  <c r="P154" i="6"/>
  <c r="O154" i="10" s="1"/>
  <c r="Q154" i="6"/>
  <c r="P154" i="10" s="1"/>
  <c r="M154" i="6"/>
  <c r="L154" i="10" s="1"/>
  <c r="N154" i="6"/>
  <c r="M154" i="10" s="1"/>
  <c r="O154" i="6"/>
  <c r="N154" i="10" s="1"/>
  <c r="Q130" i="6"/>
  <c r="P130" i="10" s="1"/>
  <c r="O130" i="6"/>
  <c r="N130" i="10" s="1"/>
  <c r="P130" i="6"/>
  <c r="O130" i="10" s="1"/>
  <c r="M130" i="6"/>
  <c r="L130" i="10" s="1"/>
  <c r="N130" i="6"/>
  <c r="M130" i="10" s="1"/>
  <c r="N106" i="6"/>
  <c r="M106" i="10" s="1"/>
  <c r="O106" i="6"/>
  <c r="N106" i="10" s="1"/>
  <c r="P106" i="6"/>
  <c r="O106" i="10" s="1"/>
  <c r="M106" i="6"/>
  <c r="L106" i="10" s="1"/>
  <c r="Q106" i="6"/>
  <c r="P106" i="10" s="1"/>
  <c r="Q82" i="6"/>
  <c r="P82" i="10" s="1"/>
  <c r="M82" i="6"/>
  <c r="L82" i="10" s="1"/>
  <c r="N82" i="6"/>
  <c r="M82" i="10" s="1"/>
  <c r="O82" i="6"/>
  <c r="N82" i="10" s="1"/>
  <c r="P82" i="6"/>
  <c r="O82" i="10" s="1"/>
  <c r="M58" i="6"/>
  <c r="L58" i="10" s="1"/>
  <c r="N58" i="6"/>
  <c r="M58" i="10" s="1"/>
  <c r="O58" i="6"/>
  <c r="N58" i="10" s="1"/>
  <c r="P58" i="6"/>
  <c r="O58" i="10" s="1"/>
  <c r="Q58" i="6"/>
  <c r="P58" i="10" s="1"/>
  <c r="M34" i="6"/>
  <c r="L34" i="10" s="1"/>
  <c r="N34" i="6"/>
  <c r="M34" i="10" s="1"/>
  <c r="O34" i="6"/>
  <c r="N34" i="10" s="1"/>
  <c r="P34" i="6"/>
  <c r="O34" i="10" s="1"/>
  <c r="Q34" i="6"/>
  <c r="P34" i="10" s="1"/>
  <c r="M10" i="6"/>
  <c r="L10" i="10" s="1"/>
  <c r="N10" i="6"/>
  <c r="M10" i="10" s="1"/>
  <c r="O10" i="6"/>
  <c r="N10" i="10" s="1"/>
  <c r="P10" i="6"/>
  <c r="O10" i="10" s="1"/>
  <c r="Q10" i="6"/>
  <c r="P10" i="10" s="1"/>
  <c r="N153" i="6"/>
  <c r="M153" i="10" s="1"/>
  <c r="P153" i="6"/>
  <c r="O153" i="10" s="1"/>
  <c r="Q153" i="6"/>
  <c r="P153" i="10" s="1"/>
  <c r="M153" i="6"/>
  <c r="L153" i="10" s="1"/>
  <c r="O153" i="6"/>
  <c r="N153" i="10" s="1"/>
  <c r="N129" i="6"/>
  <c r="M129" i="10" s="1"/>
  <c r="O129" i="6"/>
  <c r="N129" i="10" s="1"/>
  <c r="M129" i="6"/>
  <c r="L129" i="10" s="1"/>
  <c r="P129" i="6"/>
  <c r="O129" i="10" s="1"/>
  <c r="Q129" i="6"/>
  <c r="P129" i="10" s="1"/>
  <c r="P105" i="6"/>
  <c r="O105" i="10" s="1"/>
  <c r="Q105" i="6"/>
  <c r="P105" i="10" s="1"/>
  <c r="O105" i="6"/>
  <c r="N105" i="10" s="1"/>
  <c r="N105" i="6"/>
  <c r="M105" i="10" s="1"/>
  <c r="M105" i="6"/>
  <c r="L105" i="10" s="1"/>
  <c r="O81" i="6"/>
  <c r="N81" i="10" s="1"/>
  <c r="P81" i="6"/>
  <c r="O81" i="10" s="1"/>
  <c r="Q81" i="6"/>
  <c r="P81" i="10" s="1"/>
  <c r="M81" i="6"/>
  <c r="L81" i="10" s="1"/>
  <c r="N81" i="6"/>
  <c r="M81" i="10" s="1"/>
  <c r="O57" i="6"/>
  <c r="N57" i="10" s="1"/>
  <c r="P57" i="6"/>
  <c r="O57" i="10" s="1"/>
  <c r="Q57" i="6"/>
  <c r="P57" i="10" s="1"/>
  <c r="M57" i="6"/>
  <c r="L57" i="10" s="1"/>
  <c r="N57" i="6"/>
  <c r="M57" i="10" s="1"/>
  <c r="M33" i="6"/>
  <c r="L33" i="10" s="1"/>
  <c r="N33" i="6"/>
  <c r="M33" i="10" s="1"/>
  <c r="O33" i="6"/>
  <c r="N33" i="10" s="1"/>
  <c r="P33" i="6"/>
  <c r="O33" i="10" s="1"/>
  <c r="Q33" i="6"/>
  <c r="P33" i="10" s="1"/>
  <c r="M9" i="6"/>
  <c r="L9" i="10" s="1"/>
  <c r="O9" i="6"/>
  <c r="N9" i="10" s="1"/>
  <c r="P9" i="6"/>
  <c r="O9" i="10" s="1"/>
  <c r="Q9" i="6"/>
  <c r="P9" i="10" s="1"/>
  <c r="N9" i="6"/>
  <c r="M9" i="10" s="1"/>
  <c r="AE14" i="3"/>
  <c r="P300" i="3" l="1"/>
  <c r="P302" i="3" s="1"/>
  <c r="Q300" i="3"/>
  <c r="Q302" i="3" s="1"/>
  <c r="S300" i="3"/>
  <c r="S302" i="3" s="1"/>
  <c r="O300" i="3"/>
  <c r="O302" i="3" s="1"/>
  <c r="R300" i="3"/>
  <c r="R302" i="3" s="1"/>
  <c r="AF15" i="3"/>
  <c r="AF14" i="3"/>
  <c r="AJ24" i="3" s="1"/>
  <c r="N168" i="10"/>
  <c r="N170" i="10" s="1"/>
  <c r="O168" i="10"/>
  <c r="O170" i="10" s="1"/>
  <c r="L168" i="10"/>
  <c r="L170" i="10" s="1"/>
  <c r="M168" i="10"/>
  <c r="M170" i="10" s="1"/>
  <c r="S161" i="6"/>
  <c r="Q161" i="10"/>
  <c r="S158" i="6"/>
  <c r="Q158" i="10"/>
  <c r="S159" i="6"/>
  <c r="Q159" i="10"/>
  <c r="P168" i="10"/>
  <c r="P170" i="10" s="1"/>
  <c r="S164" i="6"/>
  <c r="Q164" i="10"/>
  <c r="S162" i="6"/>
  <c r="Q162" i="10"/>
  <c r="S163" i="6"/>
  <c r="Q163" i="10"/>
  <c r="S160" i="6"/>
  <c r="Q160" i="10"/>
  <c r="R113" i="6"/>
  <c r="Q113" i="10" s="1"/>
  <c r="R11" i="6"/>
  <c r="Q11" i="10" s="1"/>
  <c r="R85" i="6"/>
  <c r="Q85" i="10" s="1"/>
  <c r="R77" i="6"/>
  <c r="Q77" i="10" s="1"/>
  <c r="R120" i="6"/>
  <c r="Q120" i="10" s="1"/>
  <c r="R117" i="6"/>
  <c r="Q117" i="10" s="1"/>
  <c r="R106" i="6"/>
  <c r="Q106" i="10" s="1"/>
  <c r="R109" i="6"/>
  <c r="Q109" i="10" s="1"/>
  <c r="R84" i="6"/>
  <c r="Q84" i="10" s="1"/>
  <c r="R131" i="6"/>
  <c r="Q131" i="10" s="1"/>
  <c r="R19" i="6"/>
  <c r="Q19" i="10" s="1"/>
  <c r="R139" i="6"/>
  <c r="Q139" i="10" s="1"/>
  <c r="R47" i="6"/>
  <c r="Q47" i="10" s="1"/>
  <c r="R145" i="6"/>
  <c r="Q145" i="10" s="1"/>
  <c r="R6" i="6"/>
  <c r="Q6" i="10" s="1"/>
  <c r="R72" i="6"/>
  <c r="Q72" i="10" s="1"/>
  <c r="R112" i="6"/>
  <c r="Q112" i="10" s="1"/>
  <c r="R98" i="6"/>
  <c r="Q98" i="10" s="1"/>
  <c r="R153" i="6"/>
  <c r="Q153" i="10" s="1"/>
  <c r="R126" i="6"/>
  <c r="Q126" i="10" s="1"/>
  <c r="R26" i="6"/>
  <c r="Q26" i="10" s="1"/>
  <c r="R45" i="6"/>
  <c r="Q45" i="10" s="1"/>
  <c r="R155" i="6"/>
  <c r="Q155" i="10" s="1"/>
  <c r="R92" i="6"/>
  <c r="Q92" i="10" s="1"/>
  <c r="R93" i="6"/>
  <c r="Q93" i="10" s="1"/>
  <c r="R38" i="6"/>
  <c r="Q38" i="10" s="1"/>
  <c r="R16" i="6"/>
  <c r="Q16" i="10" s="1"/>
  <c r="R116" i="6"/>
  <c r="Q116" i="10" s="1"/>
  <c r="R57" i="6"/>
  <c r="Q57" i="10" s="1"/>
  <c r="R133" i="6"/>
  <c r="Q133" i="10" s="1"/>
  <c r="R136" i="6"/>
  <c r="Q136" i="10" s="1"/>
  <c r="R43" i="6"/>
  <c r="Q43" i="10" s="1"/>
  <c r="R7" i="6"/>
  <c r="Q7" i="10" s="1"/>
  <c r="R62" i="6"/>
  <c r="Q62" i="10" s="1"/>
  <c r="R30" i="6"/>
  <c r="Q30" i="10" s="1"/>
  <c r="R13" i="6"/>
  <c r="Q13" i="10" s="1"/>
  <c r="R59" i="6"/>
  <c r="Q59" i="10" s="1"/>
  <c r="R86" i="6"/>
  <c r="Q86" i="10" s="1"/>
  <c r="R39" i="6"/>
  <c r="Q39" i="10" s="1"/>
  <c r="R68" i="6"/>
  <c r="Q68" i="10" s="1"/>
  <c r="R73" i="6"/>
  <c r="Q73" i="10" s="1"/>
  <c r="R5" i="6"/>
  <c r="Q5" i="10" s="1"/>
  <c r="R69" i="6"/>
  <c r="Q69" i="10" s="1"/>
  <c r="R28" i="6"/>
  <c r="Q28" i="10" s="1"/>
  <c r="R135" i="6"/>
  <c r="Q135" i="10" s="1"/>
  <c r="R15" i="6"/>
  <c r="Q15" i="10" s="1"/>
  <c r="R74" i="6"/>
  <c r="Q74" i="10" s="1"/>
  <c r="R118" i="6"/>
  <c r="Q118" i="10" s="1"/>
  <c r="R60" i="6"/>
  <c r="Q60" i="10" s="1"/>
  <c r="R25" i="6"/>
  <c r="Q25" i="10" s="1"/>
  <c r="R82" i="6"/>
  <c r="Q82" i="10" s="1"/>
  <c r="R90" i="6"/>
  <c r="Q90" i="10" s="1"/>
  <c r="R114" i="6"/>
  <c r="Q114" i="10" s="1"/>
  <c r="R67" i="6"/>
  <c r="Q67" i="10" s="1"/>
  <c r="R83" i="6"/>
  <c r="Q83" i="10" s="1"/>
  <c r="R63" i="6"/>
  <c r="Q63" i="10" s="1"/>
  <c r="R151" i="6"/>
  <c r="Q151" i="10" s="1"/>
  <c r="R29" i="6"/>
  <c r="Q29" i="10" s="1"/>
  <c r="R96" i="6"/>
  <c r="Q96" i="10" s="1"/>
  <c r="R157" i="6"/>
  <c r="Q157" i="10" s="1"/>
  <c r="R87" i="6"/>
  <c r="Q87" i="10" s="1"/>
  <c r="R20" i="6"/>
  <c r="Q20" i="10" s="1"/>
  <c r="R55" i="6"/>
  <c r="Q55" i="10" s="1"/>
  <c r="R27" i="6"/>
  <c r="Q27" i="10" s="1"/>
  <c r="R52" i="6"/>
  <c r="Q52" i="10" s="1"/>
  <c r="R110" i="6"/>
  <c r="Q110" i="10" s="1"/>
  <c r="R91" i="6"/>
  <c r="Q91" i="10" s="1"/>
  <c r="R149" i="6"/>
  <c r="Q149" i="10" s="1"/>
  <c r="R24" i="6"/>
  <c r="Q24" i="10" s="1"/>
  <c r="R18" i="6"/>
  <c r="Q18" i="10" s="1"/>
  <c r="R58" i="6"/>
  <c r="Q58" i="10" s="1"/>
  <c r="R64" i="6"/>
  <c r="Q64" i="10" s="1"/>
  <c r="R97" i="6"/>
  <c r="Q97" i="10" s="1"/>
  <c r="R128" i="6"/>
  <c r="Q128" i="10" s="1"/>
  <c r="R148" i="6"/>
  <c r="Q148" i="10" s="1"/>
  <c r="R100" i="6"/>
  <c r="Q100" i="10" s="1"/>
  <c r="R3" i="6"/>
  <c r="Q3" i="10" s="1"/>
  <c r="R150" i="6"/>
  <c r="Q150" i="10" s="1"/>
  <c r="R80" i="6"/>
  <c r="Q80" i="10" s="1"/>
  <c r="R123" i="6"/>
  <c r="Q123" i="10" s="1"/>
  <c r="R130" i="6"/>
  <c r="Q130" i="10" s="1"/>
  <c r="R124" i="6"/>
  <c r="Q124" i="10" s="1"/>
  <c r="R40" i="6"/>
  <c r="Q40" i="10" s="1"/>
  <c r="R119" i="6"/>
  <c r="Q119" i="10" s="1"/>
  <c r="R144" i="6"/>
  <c r="Q144" i="10" s="1"/>
  <c r="R89" i="6"/>
  <c r="Q89" i="10" s="1"/>
  <c r="R137" i="6"/>
  <c r="Q137" i="10" s="1"/>
  <c r="R23" i="6"/>
  <c r="Q23" i="10" s="1"/>
  <c r="R143" i="6"/>
  <c r="Q143" i="10" s="1"/>
  <c r="R53" i="6"/>
  <c r="Q53" i="10" s="1"/>
  <c r="R78" i="6"/>
  <c r="Q78" i="10" s="1"/>
  <c r="R71" i="6"/>
  <c r="Q71" i="10" s="1"/>
  <c r="R76" i="6"/>
  <c r="Q76" i="10" s="1"/>
  <c r="R108" i="6"/>
  <c r="Q108" i="10" s="1"/>
  <c r="R54" i="6"/>
  <c r="Q54" i="10" s="1"/>
  <c r="R17" i="6"/>
  <c r="Q17" i="10" s="1"/>
  <c r="R105" i="6"/>
  <c r="Q105" i="10" s="1"/>
  <c r="R107" i="6"/>
  <c r="Q107" i="10" s="1"/>
  <c r="R132" i="6"/>
  <c r="Q132" i="10" s="1"/>
  <c r="R115" i="6"/>
  <c r="Q115" i="10" s="1"/>
  <c r="R8" i="6"/>
  <c r="Q8" i="10" s="1"/>
  <c r="R146" i="6"/>
  <c r="Q146" i="10" s="1"/>
  <c r="R33" i="6"/>
  <c r="Q33" i="10" s="1"/>
  <c r="R70" i="6"/>
  <c r="Q70" i="10" s="1"/>
  <c r="R56" i="6"/>
  <c r="Q56" i="10" s="1"/>
  <c r="R10" i="6"/>
  <c r="Q10" i="10" s="1"/>
  <c r="R141" i="6"/>
  <c r="Q141" i="10" s="1"/>
  <c r="R95" i="6"/>
  <c r="Q95" i="10" s="1"/>
  <c r="R81" i="6"/>
  <c r="Q81" i="10" s="1"/>
  <c r="R125" i="6"/>
  <c r="Q125" i="10" s="1"/>
  <c r="R138" i="6"/>
  <c r="Q138" i="10" s="1"/>
  <c r="R12" i="6"/>
  <c r="Q12" i="10" s="1"/>
  <c r="R14" i="6"/>
  <c r="Q14" i="10" s="1"/>
  <c r="R111" i="6"/>
  <c r="Q111" i="10" s="1"/>
  <c r="R46" i="6"/>
  <c r="Q46" i="10" s="1"/>
  <c r="R121" i="6"/>
  <c r="Q121" i="10" s="1"/>
  <c r="R102" i="6"/>
  <c r="Q102" i="10" s="1"/>
  <c r="R51" i="6"/>
  <c r="Q51" i="10" s="1"/>
  <c r="R147" i="6"/>
  <c r="Q147" i="10" s="1"/>
  <c r="R122" i="6"/>
  <c r="Q122" i="10" s="1"/>
  <c r="R94" i="6"/>
  <c r="Q94" i="10" s="1"/>
  <c r="R75" i="6"/>
  <c r="Q75" i="10" s="1"/>
  <c r="R49" i="6"/>
  <c r="Q49" i="10" s="1"/>
  <c r="R99" i="6"/>
  <c r="Q99" i="10" s="1"/>
  <c r="R35" i="6"/>
  <c r="Q35" i="10" s="1"/>
  <c r="R65" i="6"/>
  <c r="Q65" i="10" s="1"/>
  <c r="R31" i="6"/>
  <c r="Q31" i="10" s="1"/>
  <c r="R37" i="6"/>
  <c r="Q37" i="10" s="1"/>
  <c r="R142" i="6"/>
  <c r="Q142" i="10" s="1"/>
  <c r="R140" i="6"/>
  <c r="Q140" i="10" s="1"/>
  <c r="R61" i="6"/>
  <c r="Q61" i="10" s="1"/>
  <c r="R134" i="6"/>
  <c r="Q134" i="10" s="1"/>
  <c r="R9" i="6"/>
  <c r="Q9" i="10" s="1"/>
  <c r="R129" i="6"/>
  <c r="Q129" i="10" s="1"/>
  <c r="R36" i="6"/>
  <c r="Q36" i="10" s="1"/>
  <c r="R156" i="6"/>
  <c r="Q156" i="10" s="1"/>
  <c r="R44" i="6"/>
  <c r="Q44" i="10" s="1"/>
  <c r="R32" i="6"/>
  <c r="Q32" i="10" s="1"/>
  <c r="R42" i="6"/>
  <c r="Q42" i="10" s="1"/>
  <c r="R4" i="6"/>
  <c r="Q4" i="10" s="1"/>
  <c r="R103" i="6"/>
  <c r="Q103" i="10" s="1"/>
  <c r="R41" i="6"/>
  <c r="Q41" i="10" s="1"/>
  <c r="R101" i="6"/>
  <c r="Q101" i="10" s="1"/>
  <c r="R127" i="6"/>
  <c r="Q127" i="10" s="1"/>
  <c r="R48" i="6"/>
  <c r="Q48" i="10" s="1"/>
  <c r="R34" i="6"/>
  <c r="Q34" i="10" s="1"/>
  <c r="R22" i="6"/>
  <c r="Q22" i="10" s="1"/>
  <c r="R104" i="6"/>
  <c r="Q104" i="10" s="1"/>
  <c r="R154" i="6"/>
  <c r="Q154" i="10" s="1"/>
  <c r="R88" i="6"/>
  <c r="Q88" i="10" s="1"/>
  <c r="R79" i="6"/>
  <c r="Q79" i="10" s="1"/>
  <c r="R152" i="6"/>
  <c r="Q152" i="10" s="1"/>
  <c r="R50" i="6"/>
  <c r="Q50" i="10" s="1"/>
  <c r="R66" i="6"/>
  <c r="Q66" i="10" s="1"/>
  <c r="R21" i="6"/>
  <c r="Q21" i="10" s="1"/>
  <c r="T297" i="3" l="1"/>
  <c r="T291" i="3"/>
  <c r="T292" i="3"/>
  <c r="T296" i="3"/>
  <c r="T295" i="3"/>
  <c r="T287" i="3"/>
  <c r="T289" i="3"/>
  <c r="T294" i="3"/>
  <c r="T286" i="3"/>
  <c r="T288" i="3"/>
  <c r="T293" i="3"/>
  <c r="T3" i="3"/>
  <c r="T290" i="3"/>
  <c r="T272" i="3"/>
  <c r="T169" i="3"/>
  <c r="T97" i="3"/>
  <c r="T49" i="3"/>
  <c r="T145" i="3"/>
  <c r="T231" i="3"/>
  <c r="T127" i="3"/>
  <c r="T198" i="3"/>
  <c r="T178" i="3"/>
  <c r="T147" i="3"/>
  <c r="T203" i="3"/>
  <c r="T81" i="3"/>
  <c r="T139" i="3"/>
  <c r="T258" i="3"/>
  <c r="T221" i="3"/>
  <c r="T195" i="3"/>
  <c r="T45" i="3"/>
  <c r="T236" i="3"/>
  <c r="T92" i="3"/>
  <c r="T136" i="3"/>
  <c r="T273" i="3"/>
  <c r="T225" i="3"/>
  <c r="T130" i="3"/>
  <c r="T179" i="3"/>
  <c r="T95" i="3"/>
  <c r="T242" i="3"/>
  <c r="T197" i="3"/>
  <c r="T6" i="3"/>
  <c r="T141" i="3"/>
  <c r="T37" i="3"/>
  <c r="T87" i="3"/>
  <c r="T276" i="3"/>
  <c r="T228" i="3"/>
  <c r="T224" i="3"/>
  <c r="T176" i="3"/>
  <c r="T271" i="3"/>
  <c r="T175" i="3"/>
  <c r="T143" i="3"/>
  <c r="T66" i="3"/>
  <c r="T188" i="3"/>
  <c r="T112" i="3"/>
  <c r="T257" i="3"/>
  <c r="T40" i="3"/>
  <c r="T106" i="3"/>
  <c r="T129" i="3"/>
  <c r="T80" i="3"/>
  <c r="T79" i="3"/>
  <c r="T24" i="3"/>
  <c r="T218" i="3"/>
  <c r="T101" i="3"/>
  <c r="T5" i="3"/>
  <c r="T51" i="3"/>
  <c r="T46" i="3"/>
  <c r="T237" i="3"/>
  <c r="T279" i="3"/>
  <c r="T15" i="3"/>
  <c r="T110" i="3"/>
  <c r="T229" i="3"/>
  <c r="T41" i="3"/>
  <c r="T33" i="3"/>
  <c r="T128" i="3"/>
  <c r="T265" i="3"/>
  <c r="T217" i="3"/>
  <c r="T264" i="3"/>
  <c r="T120" i="3"/>
  <c r="T72" i="3"/>
  <c r="T43" i="3"/>
  <c r="T259" i="3"/>
  <c r="T163" i="3"/>
  <c r="T114" i="3"/>
  <c r="T18" i="3"/>
  <c r="T4" i="3"/>
  <c r="T238" i="3"/>
  <c r="T142" i="3"/>
  <c r="T93" i="3"/>
  <c r="T284" i="3"/>
  <c r="T140" i="3"/>
  <c r="T254" i="3"/>
  <c r="T206" i="3"/>
  <c r="T133" i="3"/>
  <c r="T121" i="3"/>
  <c r="T73" i="3"/>
  <c r="T25" i="3"/>
  <c r="T249" i="3"/>
  <c r="T199" i="3"/>
  <c r="T34" i="3"/>
  <c r="T23" i="3"/>
  <c r="T194" i="3"/>
  <c r="T90" i="3"/>
  <c r="T30" i="3"/>
  <c r="T267" i="3"/>
  <c r="T181" i="3"/>
  <c r="T85" i="3"/>
  <c r="T35" i="3"/>
  <c r="T280" i="3"/>
  <c r="T191" i="3"/>
  <c r="T196" i="3"/>
  <c r="T78" i="3"/>
  <c r="T192" i="3"/>
  <c r="T124" i="3"/>
  <c r="T76" i="3"/>
  <c r="T260" i="3"/>
  <c r="T233" i="3"/>
  <c r="T12" i="3"/>
  <c r="T177" i="3"/>
  <c r="T9" i="3"/>
  <c r="T26" i="3"/>
  <c r="T77" i="3"/>
  <c r="T166" i="3"/>
  <c r="T213" i="3"/>
  <c r="T152" i="3"/>
  <c r="T48" i="3"/>
  <c r="T119" i="3"/>
  <c r="T187" i="3"/>
  <c r="T131" i="3"/>
  <c r="T38" i="3"/>
  <c r="T60" i="3"/>
  <c r="T154" i="3"/>
  <c r="T105" i="3"/>
  <c r="T57" i="3"/>
  <c r="T8" i="3"/>
  <c r="T55" i="3"/>
  <c r="T266" i="3"/>
  <c r="T58" i="3"/>
  <c r="T50" i="3"/>
  <c r="T210" i="3"/>
  <c r="T184" i="3"/>
  <c r="T189" i="3"/>
  <c r="T67" i="3"/>
  <c r="T243" i="3"/>
  <c r="T283" i="3"/>
  <c r="T239" i="3"/>
  <c r="T91" i="3"/>
  <c r="T94" i="3"/>
  <c r="T207" i="3"/>
  <c r="T63" i="3"/>
  <c r="T13" i="3"/>
  <c r="T137" i="3"/>
  <c r="T108" i="3"/>
  <c r="T223" i="3"/>
  <c r="T174" i="3"/>
  <c r="T261" i="3"/>
  <c r="T185" i="3"/>
  <c r="T10" i="3"/>
  <c r="T96" i="3"/>
  <c r="T19" i="3"/>
  <c r="T208" i="3"/>
  <c r="T246" i="3"/>
  <c r="T270" i="3"/>
  <c r="T251" i="3"/>
  <c r="T98" i="3"/>
  <c r="T71" i="3"/>
  <c r="T170" i="3"/>
  <c r="T138" i="3"/>
  <c r="T244" i="3"/>
  <c r="T52" i="3"/>
  <c r="T123" i="3"/>
  <c r="T22" i="3"/>
  <c r="T68" i="3"/>
  <c r="T17" i="3"/>
  <c r="T156" i="3"/>
  <c r="T83" i="3"/>
  <c r="T103" i="3"/>
  <c r="T235" i="3"/>
  <c r="T31" i="3"/>
  <c r="T70" i="3"/>
  <c r="T226" i="3"/>
  <c r="T240" i="3"/>
  <c r="T168" i="3"/>
  <c r="T146" i="3"/>
  <c r="T222" i="3"/>
  <c r="T281" i="3"/>
  <c r="T256" i="3"/>
  <c r="T64" i="3"/>
  <c r="T86" i="3"/>
  <c r="T183" i="3"/>
  <c r="T47" i="3"/>
  <c r="T100" i="3"/>
  <c r="T16" i="3"/>
  <c r="T54" i="3"/>
  <c r="T200" i="3"/>
  <c r="T122" i="3"/>
  <c r="T193" i="3"/>
  <c r="T149" i="3"/>
  <c r="T214" i="3"/>
  <c r="T69" i="3"/>
  <c r="T116" i="3"/>
  <c r="T44" i="3"/>
  <c r="T159" i="3"/>
  <c r="T39" i="3"/>
  <c r="T230" i="3"/>
  <c r="T253" i="3"/>
  <c r="T56" i="3"/>
  <c r="T186" i="3"/>
  <c r="T172" i="3"/>
  <c r="T161" i="3"/>
  <c r="T157" i="3"/>
  <c r="T134" i="3"/>
  <c r="T109" i="3"/>
  <c r="T209" i="3"/>
  <c r="T28" i="3"/>
  <c r="T126" i="3"/>
  <c r="T269" i="3"/>
  <c r="T99" i="3"/>
  <c r="T21" i="3"/>
  <c r="T151" i="3"/>
  <c r="T216" i="3"/>
  <c r="T107" i="3"/>
  <c r="T173" i="3"/>
  <c r="T29" i="3"/>
  <c r="T219" i="3"/>
  <c r="T27" i="3"/>
  <c r="T190" i="3"/>
  <c r="T201" i="3"/>
  <c r="T153" i="3"/>
  <c r="T248" i="3"/>
  <c r="T155" i="3"/>
  <c r="T275" i="3"/>
  <c r="T150" i="3"/>
  <c r="T171" i="3"/>
  <c r="T164" i="3"/>
  <c r="T182" i="3"/>
  <c r="T62" i="3"/>
  <c r="T202" i="3"/>
  <c r="T7" i="3"/>
  <c r="T165" i="3"/>
  <c r="T113" i="3"/>
  <c r="T11" i="3"/>
  <c r="T102" i="3"/>
  <c r="T274" i="3"/>
  <c r="T14" i="3"/>
  <c r="T75" i="3"/>
  <c r="T144" i="3"/>
  <c r="T74" i="3"/>
  <c r="T61" i="3"/>
  <c r="T255" i="3"/>
  <c r="T263" i="3"/>
  <c r="T250" i="3"/>
  <c r="T241" i="3"/>
  <c r="T42" i="3"/>
  <c r="T158" i="3"/>
  <c r="T180" i="3"/>
  <c r="T205" i="3"/>
  <c r="T148" i="3"/>
  <c r="T115" i="3"/>
  <c r="T65" i="3"/>
  <c r="T277" i="3"/>
  <c r="T278" i="3"/>
  <c r="T268" i="3"/>
  <c r="T262" i="3"/>
  <c r="T125" i="3"/>
  <c r="T59" i="3"/>
  <c r="T167" i="3"/>
  <c r="T160" i="3"/>
  <c r="T118" i="3"/>
  <c r="T220" i="3"/>
  <c r="T215" i="3"/>
  <c r="T104" i="3"/>
  <c r="T234" i="3"/>
  <c r="T88" i="3"/>
  <c r="T53" i="3"/>
  <c r="T204" i="3"/>
  <c r="T232" i="3"/>
  <c r="T135" i="3"/>
  <c r="T84" i="3"/>
  <c r="T89" i="3"/>
  <c r="T82" i="3"/>
  <c r="T252" i="3"/>
  <c r="T247" i="3"/>
  <c r="T282" i="3"/>
  <c r="T117" i="3"/>
  <c r="T212" i="3"/>
  <c r="T20" i="3"/>
  <c r="T132" i="3"/>
  <c r="T162" i="3"/>
  <c r="T211" i="3"/>
  <c r="T227" i="3"/>
  <c r="T245" i="3"/>
  <c r="T32" i="3"/>
  <c r="T111" i="3"/>
  <c r="T36" i="3"/>
  <c r="T285" i="3"/>
  <c r="AF4" i="3"/>
  <c r="AK24" i="3"/>
  <c r="H159" i="6"/>
  <c r="R159" i="10"/>
  <c r="Q168" i="10"/>
  <c r="H160" i="6"/>
  <c r="R160" i="10"/>
  <c r="Q169" i="10"/>
  <c r="H158" i="6"/>
  <c r="R158" i="10"/>
  <c r="H161" i="6"/>
  <c r="R161" i="10"/>
  <c r="H163" i="6"/>
  <c r="R163" i="10"/>
  <c r="H162" i="6"/>
  <c r="R162" i="10"/>
  <c r="H164" i="6"/>
  <c r="R164" i="10"/>
  <c r="S157" i="6"/>
  <c r="R157" i="10" s="1"/>
  <c r="S21" i="6"/>
  <c r="R21" i="10" s="1"/>
  <c r="S19" i="6"/>
  <c r="R19" i="10" s="1"/>
  <c r="S29" i="6"/>
  <c r="R29" i="10" s="1"/>
  <c r="S64" i="6"/>
  <c r="R64" i="10" s="1"/>
  <c r="S58" i="6"/>
  <c r="R58" i="10" s="1"/>
  <c r="S124" i="6"/>
  <c r="R124" i="10" s="1"/>
  <c r="S121" i="6"/>
  <c r="R121" i="10" s="1"/>
  <c r="S13" i="6"/>
  <c r="R13" i="10" s="1"/>
  <c r="S96" i="6"/>
  <c r="R96" i="10" s="1"/>
  <c r="S51" i="6"/>
  <c r="R51" i="10" s="1"/>
  <c r="S134" i="6"/>
  <c r="R134" i="10" s="1"/>
  <c r="S119" i="6"/>
  <c r="R119" i="10" s="1"/>
  <c r="S30" i="6"/>
  <c r="R30" i="10" s="1"/>
  <c r="S66" i="6"/>
  <c r="R66" i="10" s="1"/>
  <c r="S45" i="6"/>
  <c r="R45" i="10" s="1"/>
  <c r="S103" i="6"/>
  <c r="R103" i="10" s="1"/>
  <c r="S7" i="6"/>
  <c r="R7" i="10" s="1"/>
  <c r="S71" i="6"/>
  <c r="R71" i="10" s="1"/>
  <c r="S33" i="6"/>
  <c r="R33" i="10" s="1"/>
  <c r="S88" i="6"/>
  <c r="R88" i="10" s="1"/>
  <c r="S53" i="6"/>
  <c r="R53" i="10" s="1"/>
  <c r="S150" i="6"/>
  <c r="R150" i="10" s="1"/>
  <c r="S110" i="6"/>
  <c r="R110" i="10" s="1"/>
  <c r="S67" i="6"/>
  <c r="R67" i="10" s="1"/>
  <c r="S5" i="6"/>
  <c r="R5" i="10" s="1"/>
  <c r="S133" i="6"/>
  <c r="R133" i="10" s="1"/>
  <c r="S98" i="6"/>
  <c r="R98" i="10" s="1"/>
  <c r="S117" i="6"/>
  <c r="R117" i="10" s="1"/>
  <c r="S17" i="6"/>
  <c r="R17" i="10" s="1"/>
  <c r="S61" i="6"/>
  <c r="R61" i="10" s="1"/>
  <c r="S15" i="6"/>
  <c r="R15" i="10" s="1"/>
  <c r="S142" i="6"/>
  <c r="R142" i="10" s="1"/>
  <c r="S92" i="6"/>
  <c r="R92" i="10" s="1"/>
  <c r="S101" i="6"/>
  <c r="R101" i="10" s="1"/>
  <c r="S74" i="6"/>
  <c r="R74" i="10" s="1"/>
  <c r="S18" i="6"/>
  <c r="R18" i="10" s="1"/>
  <c r="S50" i="6"/>
  <c r="R50" i="10" s="1"/>
  <c r="S26" i="6"/>
  <c r="R26" i="10" s="1"/>
  <c r="S28" i="6"/>
  <c r="R28" i="10" s="1"/>
  <c r="S83" i="6"/>
  <c r="R83" i="10" s="1"/>
  <c r="S44" i="6"/>
  <c r="R44" i="10" s="1"/>
  <c r="S8" i="6"/>
  <c r="R8" i="10" s="1"/>
  <c r="S73" i="6"/>
  <c r="R73" i="10" s="1"/>
  <c r="S12" i="6"/>
  <c r="R12" i="10" s="1"/>
  <c r="S27" i="6"/>
  <c r="R27" i="10" s="1"/>
  <c r="S90" i="6"/>
  <c r="R90" i="10" s="1"/>
  <c r="S22" i="6"/>
  <c r="R22" i="10" s="1"/>
  <c r="S36" i="6"/>
  <c r="R36" i="10" s="1"/>
  <c r="S49" i="6"/>
  <c r="R49" i="10" s="1"/>
  <c r="S138" i="6"/>
  <c r="R138" i="10" s="1"/>
  <c r="S132" i="6"/>
  <c r="R132" i="10" s="1"/>
  <c r="S137" i="6"/>
  <c r="R137" i="10" s="1"/>
  <c r="S148" i="6"/>
  <c r="R148" i="10" s="1"/>
  <c r="S55" i="6"/>
  <c r="R55" i="10" s="1"/>
  <c r="S82" i="6"/>
  <c r="R82" i="10" s="1"/>
  <c r="S39" i="6"/>
  <c r="R39" i="10" s="1"/>
  <c r="S16" i="6"/>
  <c r="R16" i="10" s="1"/>
  <c r="S6" i="6"/>
  <c r="R6" i="10" s="1"/>
  <c r="S85" i="6"/>
  <c r="R85" i="10" s="1"/>
  <c r="S139" i="6"/>
  <c r="R139" i="10" s="1"/>
  <c r="S147" i="6"/>
  <c r="R147" i="10" s="1"/>
  <c r="S155" i="6"/>
  <c r="R155" i="10" s="1"/>
  <c r="S41" i="6"/>
  <c r="R41" i="10" s="1"/>
  <c r="S131" i="6"/>
  <c r="R131" i="10" s="1"/>
  <c r="S102" i="6"/>
  <c r="R102" i="10" s="1"/>
  <c r="S84" i="6"/>
  <c r="R84" i="10" s="1"/>
  <c r="S4" i="6"/>
  <c r="R4" i="10" s="1"/>
  <c r="S109" i="6"/>
  <c r="R109" i="10" s="1"/>
  <c r="S42" i="6"/>
  <c r="R42" i="10" s="1"/>
  <c r="S78" i="6"/>
  <c r="R78" i="10" s="1"/>
  <c r="S69" i="6"/>
  <c r="R69" i="10" s="1"/>
  <c r="S32" i="6"/>
  <c r="R32" i="10" s="1"/>
  <c r="S154" i="6"/>
  <c r="R154" i="10" s="1"/>
  <c r="S114" i="6"/>
  <c r="R114" i="10" s="1"/>
  <c r="S72" i="6"/>
  <c r="R72" i="10" s="1"/>
  <c r="S127" i="6"/>
  <c r="R127" i="10" s="1"/>
  <c r="S118" i="6"/>
  <c r="R118" i="10" s="1"/>
  <c r="S40" i="6"/>
  <c r="R40" i="10" s="1"/>
  <c r="S140" i="6"/>
  <c r="R140" i="10" s="1"/>
  <c r="S62" i="6"/>
  <c r="R62" i="10" s="1"/>
  <c r="S76" i="6"/>
  <c r="R76" i="10" s="1"/>
  <c r="S24" i="6"/>
  <c r="R24" i="10" s="1"/>
  <c r="S70" i="6"/>
  <c r="R70" i="10" s="1"/>
  <c r="S126" i="6"/>
  <c r="R126" i="10" s="1"/>
  <c r="S79" i="6"/>
  <c r="R79" i="10" s="1"/>
  <c r="S80" i="6"/>
  <c r="R80" i="10" s="1"/>
  <c r="S153" i="6"/>
  <c r="R153" i="10" s="1"/>
  <c r="S65" i="6"/>
  <c r="R65" i="10" s="1"/>
  <c r="S143" i="6"/>
  <c r="R143" i="10" s="1"/>
  <c r="S120" i="6"/>
  <c r="R120" i="10" s="1"/>
  <c r="S156" i="6"/>
  <c r="R156" i="10" s="1"/>
  <c r="S115" i="6"/>
  <c r="R115" i="10" s="1"/>
  <c r="S116" i="6"/>
  <c r="R116" i="10" s="1"/>
  <c r="S75" i="6"/>
  <c r="R75" i="10" s="1"/>
  <c r="S89" i="6"/>
  <c r="R89" i="10" s="1"/>
  <c r="S128" i="6"/>
  <c r="R128" i="10" s="1"/>
  <c r="S20" i="6"/>
  <c r="R20" i="10" s="1"/>
  <c r="S25" i="6"/>
  <c r="R25" i="10" s="1"/>
  <c r="S86" i="6"/>
  <c r="R86" i="10" s="1"/>
  <c r="S38" i="6"/>
  <c r="R38" i="10" s="1"/>
  <c r="S145" i="6"/>
  <c r="R145" i="10" s="1"/>
  <c r="S11" i="6"/>
  <c r="R11" i="10" s="1"/>
  <c r="S122" i="6"/>
  <c r="R122" i="10" s="1"/>
  <c r="S54" i="6"/>
  <c r="R54" i="10" s="1"/>
  <c r="S108" i="6"/>
  <c r="R108" i="10" s="1"/>
  <c r="S130" i="6"/>
  <c r="R130" i="10" s="1"/>
  <c r="S151" i="6"/>
  <c r="R151" i="10" s="1"/>
  <c r="S37" i="6"/>
  <c r="R37" i="10" s="1"/>
  <c r="S149" i="6"/>
  <c r="R149" i="10" s="1"/>
  <c r="S63" i="6"/>
  <c r="R63" i="10" s="1"/>
  <c r="S31" i="6"/>
  <c r="R31" i="10" s="1"/>
  <c r="S91" i="6"/>
  <c r="R91" i="10" s="1"/>
  <c r="S136" i="6"/>
  <c r="R136" i="10" s="1"/>
  <c r="S146" i="6"/>
  <c r="R146" i="10" s="1"/>
  <c r="S14" i="6"/>
  <c r="R14" i="10" s="1"/>
  <c r="S52" i="6"/>
  <c r="R52" i="10" s="1"/>
  <c r="S112" i="6"/>
  <c r="R112" i="10" s="1"/>
  <c r="S104" i="6"/>
  <c r="R104" i="10" s="1"/>
  <c r="S23" i="6"/>
  <c r="R23" i="10" s="1"/>
  <c r="S77" i="6"/>
  <c r="R77" i="10" s="1"/>
  <c r="S34" i="6"/>
  <c r="R34" i="10" s="1"/>
  <c r="S125" i="6"/>
  <c r="R125" i="10" s="1"/>
  <c r="S95" i="6"/>
  <c r="R95" i="10" s="1"/>
  <c r="S141" i="6"/>
  <c r="R141" i="10" s="1"/>
  <c r="S10" i="6"/>
  <c r="R10" i="10" s="1"/>
  <c r="S56" i="6"/>
  <c r="R56" i="10" s="1"/>
  <c r="S135" i="6"/>
  <c r="R135" i="10" s="1"/>
  <c r="S152" i="6"/>
  <c r="R152" i="10" s="1"/>
  <c r="S123" i="6"/>
  <c r="R123" i="10" s="1"/>
  <c r="S43" i="6"/>
  <c r="R43" i="10" s="1"/>
  <c r="S46" i="6"/>
  <c r="R46" i="10" s="1"/>
  <c r="S106" i="6"/>
  <c r="R106" i="10" s="1"/>
  <c r="S111" i="6"/>
  <c r="R111" i="10" s="1"/>
  <c r="S35" i="6"/>
  <c r="R35" i="10" s="1"/>
  <c r="S3" i="6"/>
  <c r="R3" i="10" s="1"/>
  <c r="S57" i="6"/>
  <c r="R57" i="10" s="1"/>
  <c r="S99" i="6"/>
  <c r="R99" i="10" s="1"/>
  <c r="S100" i="6"/>
  <c r="R100" i="10" s="1"/>
  <c r="S68" i="6"/>
  <c r="R68" i="10" s="1"/>
  <c r="S129" i="6"/>
  <c r="R129" i="10" s="1"/>
  <c r="S107" i="6"/>
  <c r="R107" i="10" s="1"/>
  <c r="S48" i="6"/>
  <c r="R48" i="10" s="1"/>
  <c r="S9" i="6"/>
  <c r="R9" i="10" s="1"/>
  <c r="S94" i="6"/>
  <c r="R94" i="10" s="1"/>
  <c r="S81" i="6"/>
  <c r="R81" i="10" s="1"/>
  <c r="S105" i="6"/>
  <c r="R105" i="10" s="1"/>
  <c r="S144" i="6"/>
  <c r="R144" i="10" s="1"/>
  <c r="S97" i="6"/>
  <c r="R97" i="10" s="1"/>
  <c r="S87" i="6"/>
  <c r="R87" i="10" s="1"/>
  <c r="S60" i="6"/>
  <c r="R60" i="10" s="1"/>
  <c r="S59" i="6"/>
  <c r="R59" i="10" s="1"/>
  <c r="S93" i="6"/>
  <c r="R93" i="10" s="1"/>
  <c r="S47" i="6"/>
  <c r="R47" i="10" s="1"/>
  <c r="S113" i="6"/>
  <c r="R113" i="10" s="1"/>
  <c r="T301" i="3" l="1"/>
  <c r="T300" i="3"/>
  <c r="Z24" i="3"/>
  <c r="AF5" i="3"/>
  <c r="U297" i="3"/>
  <c r="U296" i="3"/>
  <c r="U291" i="3"/>
  <c r="U293" i="3"/>
  <c r="U292" i="3"/>
  <c r="U289" i="3"/>
  <c r="U286" i="3"/>
  <c r="U290" i="3"/>
  <c r="U295" i="3"/>
  <c r="U287" i="3"/>
  <c r="U294" i="3"/>
  <c r="U288" i="3"/>
  <c r="U3" i="3"/>
  <c r="U202" i="3"/>
  <c r="U224" i="3"/>
  <c r="U216" i="3"/>
  <c r="U218" i="3"/>
  <c r="U191" i="3"/>
  <c r="U242" i="3"/>
  <c r="U250" i="3"/>
  <c r="U222" i="3"/>
  <c r="U258" i="3"/>
  <c r="U210" i="3"/>
  <c r="U244" i="3"/>
  <c r="U238" i="3"/>
  <c r="U236" i="3"/>
  <c r="U232" i="3"/>
  <c r="U254" i="3"/>
  <c r="U206" i="3"/>
  <c r="U223" i="3"/>
  <c r="U217" i="3"/>
  <c r="U169" i="3"/>
  <c r="U285" i="3"/>
  <c r="U273" i="3"/>
  <c r="U168" i="3"/>
  <c r="U120" i="3"/>
  <c r="U72" i="3"/>
  <c r="U24" i="3"/>
  <c r="U74" i="3"/>
  <c r="U50" i="3"/>
  <c r="U274" i="3"/>
  <c r="U177" i="3"/>
  <c r="U272" i="3"/>
  <c r="U176" i="3"/>
  <c r="U32" i="3"/>
  <c r="U175" i="3"/>
  <c r="U196" i="3"/>
  <c r="U100" i="3"/>
  <c r="U54" i="3"/>
  <c r="U29" i="3"/>
  <c r="U99" i="3"/>
  <c r="U44" i="3"/>
  <c r="U59" i="3"/>
  <c r="U203" i="3"/>
  <c r="U143" i="3"/>
  <c r="U189" i="3"/>
  <c r="U92" i="3"/>
  <c r="U158" i="3"/>
  <c r="U209" i="3"/>
  <c r="U225" i="3"/>
  <c r="U49" i="3"/>
  <c r="U284" i="3"/>
  <c r="U136" i="3"/>
  <c r="U63" i="3"/>
  <c r="U160" i="3"/>
  <c r="U11" i="3"/>
  <c r="U128" i="3"/>
  <c r="U271" i="3"/>
  <c r="U145" i="3"/>
  <c r="U259" i="3"/>
  <c r="U163" i="3"/>
  <c r="U162" i="3"/>
  <c r="U66" i="3"/>
  <c r="U148" i="3"/>
  <c r="U52" i="3"/>
  <c r="U102" i="3"/>
  <c r="U6" i="3"/>
  <c r="U195" i="3"/>
  <c r="U190" i="3"/>
  <c r="U141" i="3"/>
  <c r="U188" i="3"/>
  <c r="U281" i="3"/>
  <c r="U112" i="3"/>
  <c r="U87" i="3"/>
  <c r="U106" i="3"/>
  <c r="U34" i="3"/>
  <c r="U129" i="3"/>
  <c r="U31" i="3"/>
  <c r="U198" i="3"/>
  <c r="U211" i="3"/>
  <c r="U139" i="3"/>
  <c r="U227" i="3"/>
  <c r="U101" i="3"/>
  <c r="U5" i="3"/>
  <c r="U46" i="3"/>
  <c r="U237" i="3"/>
  <c r="U45" i="3"/>
  <c r="U159" i="3"/>
  <c r="U257" i="3"/>
  <c r="U113" i="3"/>
  <c r="U110" i="3"/>
  <c r="U229" i="3"/>
  <c r="U40" i="3"/>
  <c r="U276" i="3"/>
  <c r="U226" i="3"/>
  <c r="U248" i="3"/>
  <c r="U246" i="3"/>
  <c r="U240" i="3"/>
  <c r="U234" i="3"/>
  <c r="U220" i="3"/>
  <c r="U214" i="3"/>
  <c r="U212" i="3"/>
  <c r="U256" i="3"/>
  <c r="U208" i="3"/>
  <c r="U200" i="3"/>
  <c r="U55" i="3"/>
  <c r="U193" i="3"/>
  <c r="U221" i="3"/>
  <c r="U147" i="3"/>
  <c r="U233" i="3"/>
  <c r="U181" i="3"/>
  <c r="U268" i="3"/>
  <c r="U132" i="3"/>
  <c r="U279" i="3"/>
  <c r="U23" i="3"/>
  <c r="U42" i="3"/>
  <c r="U30" i="3"/>
  <c r="U267" i="3"/>
  <c r="U140" i="3"/>
  <c r="U137" i="3"/>
  <c r="U80" i="3"/>
  <c r="U8" i="3"/>
  <c r="U71" i="3"/>
  <c r="U43" i="3"/>
  <c r="U135" i="3"/>
  <c r="U277" i="3"/>
  <c r="U13" i="3"/>
  <c r="U130" i="3"/>
  <c r="U90" i="3"/>
  <c r="U124" i="3"/>
  <c r="U93" i="3"/>
  <c r="U180" i="3"/>
  <c r="U9" i="3"/>
  <c r="U4" i="3"/>
  <c r="U166" i="3"/>
  <c r="U213" i="3"/>
  <c r="U68" i="3"/>
  <c r="U88" i="3"/>
  <c r="U96" i="3"/>
  <c r="U131" i="3"/>
  <c r="U260" i="3"/>
  <c r="U207" i="3"/>
  <c r="U86" i="3"/>
  <c r="U12" i="3"/>
  <c r="U172" i="3"/>
  <c r="U33" i="3"/>
  <c r="U270" i="3"/>
  <c r="U17" i="3"/>
  <c r="U266" i="3"/>
  <c r="U187" i="3"/>
  <c r="U53" i="3"/>
  <c r="U123" i="3"/>
  <c r="U75" i="3"/>
  <c r="U261" i="3"/>
  <c r="U16" i="3"/>
  <c r="U61" i="3"/>
  <c r="U184" i="3"/>
  <c r="U170" i="3"/>
  <c r="U77" i="3"/>
  <c r="U57" i="3"/>
  <c r="U97" i="3"/>
  <c r="U179" i="3"/>
  <c r="U239" i="3"/>
  <c r="U119" i="3"/>
  <c r="U91" i="3"/>
  <c r="U18" i="3"/>
  <c r="U78" i="3"/>
  <c r="U94" i="3"/>
  <c r="U15" i="3"/>
  <c r="U183" i="3"/>
  <c r="U204" i="3"/>
  <c r="U108" i="3"/>
  <c r="U142" i="3"/>
  <c r="U64" i="3"/>
  <c r="U22" i="3"/>
  <c r="U157" i="3"/>
  <c r="U146" i="3"/>
  <c r="U51" i="3"/>
  <c r="U109" i="3"/>
  <c r="U149" i="3"/>
  <c r="U243" i="3"/>
  <c r="U251" i="3"/>
  <c r="U265" i="3"/>
  <c r="U98" i="3"/>
  <c r="U138" i="3"/>
  <c r="U173" i="3"/>
  <c r="U262" i="3"/>
  <c r="U35" i="3"/>
  <c r="U103" i="3"/>
  <c r="U252" i="3"/>
  <c r="U60" i="3"/>
  <c r="U67" i="3"/>
  <c r="U230" i="3"/>
  <c r="U105" i="3"/>
  <c r="U215" i="3"/>
  <c r="U235" i="3"/>
  <c r="U70" i="3"/>
  <c r="U185" i="3"/>
  <c r="U231" i="3"/>
  <c r="U38" i="3"/>
  <c r="U280" i="3"/>
  <c r="U10" i="3"/>
  <c r="U144" i="3"/>
  <c r="U174" i="3"/>
  <c r="U47" i="3"/>
  <c r="U115" i="3"/>
  <c r="U21" i="3"/>
  <c r="U116" i="3"/>
  <c r="U39" i="3"/>
  <c r="U41" i="3"/>
  <c r="U89" i="3"/>
  <c r="U253" i="3"/>
  <c r="U156" i="3"/>
  <c r="U122" i="3"/>
  <c r="U73" i="3"/>
  <c r="U107" i="3"/>
  <c r="U167" i="3"/>
  <c r="U245" i="3"/>
  <c r="U27" i="3"/>
  <c r="U165" i="3"/>
  <c r="U81" i="3"/>
  <c r="U19" i="3"/>
  <c r="U186" i="3"/>
  <c r="U83" i="3"/>
  <c r="U56" i="3"/>
  <c r="U25" i="3"/>
  <c r="U126" i="3"/>
  <c r="U269" i="3"/>
  <c r="U219" i="3"/>
  <c r="U134" i="3"/>
  <c r="U153" i="3"/>
  <c r="U199" i="3"/>
  <c r="U151" i="3"/>
  <c r="U155" i="3"/>
  <c r="U26" i="3"/>
  <c r="U182" i="3"/>
  <c r="U154" i="3"/>
  <c r="U228" i="3"/>
  <c r="U282" i="3"/>
  <c r="U82" i="3"/>
  <c r="U84" i="3"/>
  <c r="U247" i="3"/>
  <c r="U121" i="3"/>
  <c r="U58" i="3"/>
  <c r="U118" i="3"/>
  <c r="U278" i="3"/>
  <c r="U7" i="3"/>
  <c r="U178" i="3"/>
  <c r="U133" i="3"/>
  <c r="U37" i="3"/>
  <c r="U69" i="3"/>
  <c r="U161" i="3"/>
  <c r="U14" i="3"/>
  <c r="U95" i="3"/>
  <c r="U62" i="3"/>
  <c r="U192" i="3"/>
  <c r="U255" i="3"/>
  <c r="U263" i="3"/>
  <c r="U194" i="3"/>
  <c r="U76" i="3"/>
  <c r="U171" i="3"/>
  <c r="U164" i="3"/>
  <c r="U114" i="3"/>
  <c r="U201" i="3"/>
  <c r="U85" i="3"/>
  <c r="U111" i="3"/>
  <c r="U104" i="3"/>
  <c r="U125" i="3"/>
  <c r="U79" i="3"/>
  <c r="U275" i="3"/>
  <c r="U197" i="3"/>
  <c r="U36" i="3"/>
  <c r="U152" i="3"/>
  <c r="U150" i="3"/>
  <c r="U65" i="3"/>
  <c r="U205" i="3"/>
  <c r="U241" i="3"/>
  <c r="U283" i="3"/>
  <c r="U249" i="3"/>
  <c r="U127" i="3"/>
  <c r="U264" i="3"/>
  <c r="U28" i="3"/>
  <c r="U117" i="3"/>
  <c r="U20" i="3"/>
  <c r="U48" i="3"/>
  <c r="I164" i="6"/>
  <c r="G164" i="10"/>
  <c r="I162" i="6"/>
  <c r="G162" i="10"/>
  <c r="I161" i="6"/>
  <c r="G161" i="10"/>
  <c r="R168" i="10"/>
  <c r="R169" i="10"/>
  <c r="I158" i="6"/>
  <c r="G158" i="10"/>
  <c r="I160" i="6"/>
  <c r="G160" i="10"/>
  <c r="Q170" i="10"/>
  <c r="I163" i="6"/>
  <c r="G163" i="10"/>
  <c r="I159" i="6"/>
  <c r="G159" i="10"/>
  <c r="H70" i="6"/>
  <c r="G70" i="10" s="1"/>
  <c r="H78" i="6"/>
  <c r="G78" i="10" s="1"/>
  <c r="H85" i="6"/>
  <c r="G85" i="10" s="1"/>
  <c r="H113" i="6"/>
  <c r="G113" i="10" s="1"/>
  <c r="H62" i="6"/>
  <c r="G62" i="10" s="1"/>
  <c r="H60" i="6"/>
  <c r="G60" i="10" s="1"/>
  <c r="H100" i="6"/>
  <c r="G100" i="10" s="1"/>
  <c r="H56" i="6"/>
  <c r="G56" i="10" s="1"/>
  <c r="H146" i="6"/>
  <c r="G146" i="10" s="1"/>
  <c r="H11" i="6"/>
  <c r="G11" i="10" s="1"/>
  <c r="H120" i="6"/>
  <c r="G120" i="10" s="1"/>
  <c r="H40" i="6"/>
  <c r="G40" i="10" s="1"/>
  <c r="H84" i="6"/>
  <c r="G84" i="10" s="1"/>
  <c r="H55" i="6"/>
  <c r="G55" i="10" s="1"/>
  <c r="H8" i="6"/>
  <c r="G8" i="10" s="1"/>
  <c r="H89" i="6"/>
  <c r="G89" i="10" s="1"/>
  <c r="H43" i="6"/>
  <c r="G43" i="10" s="1"/>
  <c r="H152" i="6"/>
  <c r="G152" i="10" s="1"/>
  <c r="H109" i="6"/>
  <c r="G109" i="10" s="1"/>
  <c r="H140" i="6"/>
  <c r="G140" i="10" s="1"/>
  <c r="H124" i="6"/>
  <c r="G124" i="10" s="1"/>
  <c r="H7" i="6"/>
  <c r="G7" i="10" s="1"/>
  <c r="H117" i="6"/>
  <c r="G117" i="10" s="1"/>
  <c r="H103" i="6"/>
  <c r="G103" i="10" s="1"/>
  <c r="H64" i="6"/>
  <c r="G64" i="10" s="1"/>
  <c r="H23" i="6"/>
  <c r="G23" i="10" s="1"/>
  <c r="H90" i="6"/>
  <c r="G90" i="10" s="1"/>
  <c r="H42" i="6"/>
  <c r="G42" i="10" s="1"/>
  <c r="H72" i="6"/>
  <c r="G72" i="10" s="1"/>
  <c r="H74" i="6"/>
  <c r="G74" i="10" s="1"/>
  <c r="H24" i="6"/>
  <c r="G24" i="10" s="1"/>
  <c r="H53" i="6"/>
  <c r="G53" i="10" s="1"/>
  <c r="H68" i="6"/>
  <c r="G68" i="10" s="1"/>
  <c r="H71" i="6"/>
  <c r="G71" i="10" s="1"/>
  <c r="H29" i="6"/>
  <c r="G29" i="10" s="1"/>
  <c r="H110" i="6"/>
  <c r="G110" i="10" s="1"/>
  <c r="H101" i="6"/>
  <c r="G101" i="10" s="1"/>
  <c r="H107" i="6"/>
  <c r="G107" i="10" s="1"/>
  <c r="H16" i="6"/>
  <c r="G16" i="10" s="1"/>
  <c r="H54" i="6"/>
  <c r="G54" i="10" s="1"/>
  <c r="H12" i="6"/>
  <c r="G12" i="10" s="1"/>
  <c r="H142" i="6"/>
  <c r="G142" i="10" s="1"/>
  <c r="H10" i="6"/>
  <c r="G10" i="10" s="1"/>
  <c r="H102" i="6"/>
  <c r="G102" i="10" s="1"/>
  <c r="H91" i="6"/>
  <c r="G91" i="10" s="1"/>
  <c r="H31" i="6"/>
  <c r="G31" i="10" s="1"/>
  <c r="H132" i="6"/>
  <c r="G132" i="10" s="1"/>
  <c r="H98" i="6"/>
  <c r="G98" i="10" s="1"/>
  <c r="H133" i="6"/>
  <c r="G133" i="10" s="1"/>
  <c r="H66" i="6"/>
  <c r="G66" i="10" s="1"/>
  <c r="H19" i="6"/>
  <c r="G19" i="10" s="1"/>
  <c r="H151" i="6"/>
  <c r="G151" i="10" s="1"/>
  <c r="H130" i="6"/>
  <c r="G130" i="10" s="1"/>
  <c r="H51" i="6"/>
  <c r="G51" i="10" s="1"/>
  <c r="H108" i="6"/>
  <c r="G108" i="10" s="1"/>
  <c r="H76" i="6"/>
  <c r="G76" i="10" s="1"/>
  <c r="H122" i="6"/>
  <c r="G122" i="10" s="1"/>
  <c r="H73" i="6"/>
  <c r="G73" i="10" s="1"/>
  <c r="H15" i="6"/>
  <c r="G15" i="10" s="1"/>
  <c r="H61" i="6"/>
  <c r="G61" i="10" s="1"/>
  <c r="H87" i="6"/>
  <c r="G87" i="10" s="1"/>
  <c r="H136" i="6"/>
  <c r="G136" i="10" s="1"/>
  <c r="H148" i="6"/>
  <c r="G148" i="10" s="1"/>
  <c r="H58" i="6"/>
  <c r="G58" i="10" s="1"/>
  <c r="H97" i="6"/>
  <c r="G97" i="10" s="1"/>
  <c r="H38" i="6"/>
  <c r="G38" i="10" s="1"/>
  <c r="H131" i="6"/>
  <c r="G131" i="10" s="1"/>
  <c r="H137" i="6"/>
  <c r="G137" i="10" s="1"/>
  <c r="H95" i="6"/>
  <c r="G95" i="10" s="1"/>
  <c r="H153" i="6"/>
  <c r="G153" i="10" s="1"/>
  <c r="H28" i="6"/>
  <c r="G28" i="10" s="1"/>
  <c r="H35" i="6"/>
  <c r="G35" i="10" s="1"/>
  <c r="H80" i="6"/>
  <c r="G80" i="10" s="1"/>
  <c r="H155" i="6"/>
  <c r="G155" i="10" s="1"/>
  <c r="H111" i="6"/>
  <c r="G111" i="10" s="1"/>
  <c r="H34" i="6"/>
  <c r="G34" i="10" s="1"/>
  <c r="H20" i="6"/>
  <c r="G20" i="10" s="1"/>
  <c r="H79" i="6"/>
  <c r="G79" i="10" s="1"/>
  <c r="H154" i="6"/>
  <c r="G154" i="10" s="1"/>
  <c r="H147" i="6"/>
  <c r="G147" i="10" s="1"/>
  <c r="H49" i="6"/>
  <c r="G49" i="10" s="1"/>
  <c r="H50" i="6"/>
  <c r="G50" i="10" s="1"/>
  <c r="H9" i="6"/>
  <c r="G9" i="10" s="1"/>
  <c r="H46" i="6"/>
  <c r="G46" i="10" s="1"/>
  <c r="H134" i="6"/>
  <c r="G134" i="10" s="1"/>
  <c r="H48" i="6"/>
  <c r="G48" i="10" s="1"/>
  <c r="H104" i="6"/>
  <c r="G104" i="10" s="1"/>
  <c r="H123" i="6"/>
  <c r="G123" i="10" s="1"/>
  <c r="H92" i="6"/>
  <c r="G92" i="10" s="1"/>
  <c r="H52" i="6"/>
  <c r="G52" i="10" s="1"/>
  <c r="H14" i="6"/>
  <c r="G14" i="10" s="1"/>
  <c r="H99" i="6"/>
  <c r="G99" i="10" s="1"/>
  <c r="H118" i="6"/>
  <c r="G118" i="10" s="1"/>
  <c r="H44" i="6"/>
  <c r="G44" i="10" s="1"/>
  <c r="H17" i="6"/>
  <c r="G17" i="10" s="1"/>
  <c r="H65" i="6"/>
  <c r="G65" i="10" s="1"/>
  <c r="H3" i="6"/>
  <c r="G3" i="10" s="1"/>
  <c r="H41" i="6"/>
  <c r="G41" i="10" s="1"/>
  <c r="H45" i="6"/>
  <c r="G45" i="10" s="1"/>
  <c r="H63" i="6"/>
  <c r="G63" i="10" s="1"/>
  <c r="H114" i="6"/>
  <c r="G114" i="10" s="1"/>
  <c r="H138" i="6"/>
  <c r="G138" i="10" s="1"/>
  <c r="H5" i="6"/>
  <c r="G5" i="10" s="1"/>
  <c r="H30" i="6"/>
  <c r="G30" i="10" s="1"/>
  <c r="H21" i="6"/>
  <c r="G21" i="10" s="1"/>
  <c r="H69" i="6"/>
  <c r="G69" i="10" s="1"/>
  <c r="H75" i="6"/>
  <c r="G75" i="10" s="1"/>
  <c r="H150" i="6"/>
  <c r="G150" i="10" s="1"/>
  <c r="H47" i="6"/>
  <c r="G47" i="10" s="1"/>
  <c r="H116" i="6"/>
  <c r="G116" i="10" s="1"/>
  <c r="H96" i="6"/>
  <c r="G96" i="10" s="1"/>
  <c r="H93" i="6"/>
  <c r="G93" i="10" s="1"/>
  <c r="H115" i="6"/>
  <c r="G115" i="10" s="1"/>
  <c r="H13" i="6"/>
  <c r="G13" i="10" s="1"/>
  <c r="H59" i="6"/>
  <c r="G59" i="10" s="1"/>
  <c r="H156" i="6"/>
  <c r="G156" i="10" s="1"/>
  <c r="H82" i="6"/>
  <c r="G82" i="10" s="1"/>
  <c r="H33" i="6"/>
  <c r="G33" i="10" s="1"/>
  <c r="H145" i="6"/>
  <c r="G145" i="10" s="1"/>
  <c r="H57" i="6"/>
  <c r="G57" i="10" s="1"/>
  <c r="H127" i="6"/>
  <c r="G127" i="10" s="1"/>
  <c r="H83" i="6"/>
  <c r="G83" i="10" s="1"/>
  <c r="H144" i="6"/>
  <c r="G144" i="10" s="1"/>
  <c r="H105" i="6"/>
  <c r="G105" i="10" s="1"/>
  <c r="H25" i="6"/>
  <c r="G25" i="10" s="1"/>
  <c r="H26" i="6"/>
  <c r="G26" i="10" s="1"/>
  <c r="H77" i="6"/>
  <c r="G77" i="10" s="1"/>
  <c r="H128" i="6"/>
  <c r="G128" i="10" s="1"/>
  <c r="H32" i="6"/>
  <c r="G32" i="10" s="1"/>
  <c r="H139" i="6"/>
  <c r="G139" i="10" s="1"/>
  <c r="H36" i="6"/>
  <c r="G36" i="10" s="1"/>
  <c r="H18" i="6"/>
  <c r="G18" i="10" s="1"/>
  <c r="H22" i="6"/>
  <c r="G22" i="10" s="1"/>
  <c r="H6" i="6"/>
  <c r="G6" i="10" s="1"/>
  <c r="H112" i="6"/>
  <c r="G112" i="10" s="1"/>
  <c r="H27" i="6"/>
  <c r="G27" i="10" s="1"/>
  <c r="H129" i="6"/>
  <c r="G129" i="10" s="1"/>
  <c r="H39" i="6"/>
  <c r="G39" i="10" s="1"/>
  <c r="H88" i="6"/>
  <c r="G88" i="10" s="1"/>
  <c r="H135" i="6"/>
  <c r="G135" i="10" s="1"/>
  <c r="H4" i="6"/>
  <c r="G4" i="10" s="1"/>
  <c r="H121" i="6"/>
  <c r="G121" i="10" s="1"/>
  <c r="H143" i="6"/>
  <c r="G143" i="10" s="1"/>
  <c r="H141" i="6"/>
  <c r="G141" i="10" s="1"/>
  <c r="H86" i="6"/>
  <c r="G86" i="10" s="1"/>
  <c r="H125" i="6"/>
  <c r="G125" i="10" s="1"/>
  <c r="H81" i="6"/>
  <c r="G81" i="10" s="1"/>
  <c r="H149" i="6"/>
  <c r="G149" i="10" s="1"/>
  <c r="H94" i="6"/>
  <c r="G94" i="10" s="1"/>
  <c r="H106" i="6"/>
  <c r="G106" i="10" s="1"/>
  <c r="H37" i="6"/>
  <c r="G37" i="10" s="1"/>
  <c r="H126" i="6"/>
  <c r="G126" i="10" s="1"/>
  <c r="H67" i="6"/>
  <c r="G67" i="10" s="1"/>
  <c r="H119" i="6"/>
  <c r="G119" i="10" s="1"/>
  <c r="H157" i="6"/>
  <c r="G157" i="10" s="1"/>
  <c r="D157" i="2"/>
  <c r="G157" i="2"/>
  <c r="H157" i="2"/>
  <c r="I157" i="2"/>
  <c r="C157" i="2"/>
  <c r="B157" i="2"/>
  <c r="G286" i="1"/>
  <c r="H286" i="1"/>
  <c r="I286" i="1"/>
  <c r="J286" i="1"/>
  <c r="F286" i="1"/>
  <c r="E286" i="1"/>
  <c r="U301" i="3" l="1"/>
  <c r="U300" i="3"/>
  <c r="T302" i="3"/>
  <c r="AA24" i="3"/>
  <c r="AF6" i="3"/>
  <c r="J297" i="3"/>
  <c r="J293" i="3"/>
  <c r="J3" i="3"/>
  <c r="J286" i="3"/>
  <c r="J292" i="3"/>
  <c r="J296" i="3"/>
  <c r="J295" i="3"/>
  <c r="J294" i="3"/>
  <c r="J290" i="3"/>
  <c r="J287" i="3"/>
  <c r="J288" i="3"/>
  <c r="J289" i="3"/>
  <c r="J291" i="3"/>
  <c r="J274" i="3"/>
  <c r="J106" i="3"/>
  <c r="J34" i="3"/>
  <c r="J273" i="3"/>
  <c r="J128" i="3"/>
  <c r="J80" i="3"/>
  <c r="J32" i="3"/>
  <c r="J271" i="3"/>
  <c r="J130" i="3"/>
  <c r="J122" i="3"/>
  <c r="J265" i="3"/>
  <c r="J168" i="3"/>
  <c r="J120" i="3"/>
  <c r="J72" i="3"/>
  <c r="J24" i="3"/>
  <c r="J74" i="3"/>
  <c r="J50" i="3"/>
  <c r="J259" i="3"/>
  <c r="J162" i="3"/>
  <c r="J114" i="3"/>
  <c r="J66" i="3"/>
  <c r="J18" i="3"/>
  <c r="J148" i="3"/>
  <c r="J100" i="3"/>
  <c r="J52" i="3"/>
  <c r="J4" i="3"/>
  <c r="J102" i="3"/>
  <c r="J54" i="3"/>
  <c r="J6" i="3"/>
  <c r="J195" i="3"/>
  <c r="J142" i="3"/>
  <c r="J94" i="3"/>
  <c r="J46" i="3"/>
  <c r="J285" i="3"/>
  <c r="J140" i="3"/>
  <c r="J92" i="3"/>
  <c r="J44" i="3"/>
  <c r="J281" i="3"/>
  <c r="J112" i="3"/>
  <c r="J136" i="3"/>
  <c r="J279" i="3"/>
  <c r="J159" i="3"/>
  <c r="J63" i="3"/>
  <c r="J160" i="3"/>
  <c r="J15" i="3"/>
  <c r="J158" i="3"/>
  <c r="J33" i="3"/>
  <c r="J97" i="3"/>
  <c r="J264" i="3"/>
  <c r="J143" i="3"/>
  <c r="J47" i="3"/>
  <c r="J270" i="3"/>
  <c r="J211" i="3"/>
  <c r="J43" i="3"/>
  <c r="J258" i="3"/>
  <c r="J5" i="3"/>
  <c r="J29" i="3"/>
  <c r="J243" i="3"/>
  <c r="J237" i="3"/>
  <c r="J236" i="3"/>
  <c r="J223" i="3"/>
  <c r="J175" i="3"/>
  <c r="J216" i="3"/>
  <c r="J169" i="3"/>
  <c r="J178" i="3"/>
  <c r="J163" i="3"/>
  <c r="J197" i="3"/>
  <c r="J51" i="3"/>
  <c r="J238" i="3"/>
  <c r="J189" i="3"/>
  <c r="J93" i="3"/>
  <c r="J188" i="3"/>
  <c r="J85" i="3"/>
  <c r="J11" i="3"/>
  <c r="J177" i="3"/>
  <c r="J139" i="3"/>
  <c r="J227" i="3"/>
  <c r="J101" i="3"/>
  <c r="J196" i="3"/>
  <c r="J133" i="3"/>
  <c r="J202" i="3"/>
  <c r="J250" i="3"/>
  <c r="J244" i="3"/>
  <c r="J231" i="3"/>
  <c r="J225" i="3"/>
  <c r="J81" i="3"/>
  <c r="J176" i="3"/>
  <c r="J127" i="3"/>
  <c r="J95" i="3"/>
  <c r="J242" i="3"/>
  <c r="J125" i="3"/>
  <c r="J99" i="3"/>
  <c r="J206" i="3"/>
  <c r="J280" i="3"/>
  <c r="J272" i="3"/>
  <c r="J251" i="3"/>
  <c r="J218" i="3"/>
  <c r="J145" i="3"/>
  <c r="J161" i="3"/>
  <c r="J183" i="3"/>
  <c r="J154" i="3"/>
  <c r="J82" i="3"/>
  <c r="J10" i="3"/>
  <c r="J152" i="3"/>
  <c r="J104" i="3"/>
  <c r="J56" i="3"/>
  <c r="J8" i="3"/>
  <c r="J26" i="3"/>
  <c r="J144" i="3"/>
  <c r="J96" i="3"/>
  <c r="J48" i="3"/>
  <c r="J275" i="3"/>
  <c r="J98" i="3"/>
  <c r="J263" i="3"/>
  <c r="J150" i="3"/>
  <c r="J146" i="3"/>
  <c r="J170" i="3"/>
  <c r="J58" i="3"/>
  <c r="J283" i="3"/>
  <c r="J282" i="3"/>
  <c r="J186" i="3"/>
  <c r="J138" i="3"/>
  <c r="J90" i="3"/>
  <c r="J42" i="3"/>
  <c r="J172" i="3"/>
  <c r="J124" i="3"/>
  <c r="J76" i="3"/>
  <c r="J28" i="3"/>
  <c r="J126" i="3"/>
  <c r="J78" i="3"/>
  <c r="J30" i="3"/>
  <c r="J269" i="3"/>
  <c r="J267" i="3"/>
  <c r="J262" i="3"/>
  <c r="J166" i="3"/>
  <c r="J118" i="3"/>
  <c r="J70" i="3"/>
  <c r="J22" i="3"/>
  <c r="J261" i="3"/>
  <c r="J164" i="3"/>
  <c r="J116" i="3"/>
  <c r="J68" i="3"/>
  <c r="J20" i="3"/>
  <c r="J64" i="3"/>
  <c r="J9" i="3"/>
  <c r="J241" i="3"/>
  <c r="J224" i="3"/>
  <c r="J247" i="3"/>
  <c r="J257" i="3"/>
  <c r="J16" i="3"/>
  <c r="J253" i="3"/>
  <c r="J12" i="3"/>
  <c r="J233" i="3"/>
  <c r="J184" i="3"/>
  <c r="J207" i="3"/>
  <c r="J86" i="3"/>
  <c r="J131" i="3"/>
  <c r="J75" i="3"/>
  <c r="J249" i="3"/>
  <c r="J23" i="3"/>
  <c r="J91" i="3"/>
  <c r="J278" i="3"/>
  <c r="J38" i="3"/>
  <c r="J276" i="3"/>
  <c r="J60" i="3"/>
  <c r="J203" i="3"/>
  <c r="J121" i="3"/>
  <c r="J191" i="3"/>
  <c r="J226" i="3"/>
  <c r="J105" i="3"/>
  <c r="J49" i="3"/>
  <c r="J179" i="3"/>
  <c r="J221" i="3"/>
  <c r="J123" i="3"/>
  <c r="J17" i="3"/>
  <c r="J87" i="3"/>
  <c r="J108" i="3"/>
  <c r="J240" i="3"/>
  <c r="J119" i="3"/>
  <c r="J53" i="3"/>
  <c r="J77" i="3"/>
  <c r="J254" i="3"/>
  <c r="J65" i="3"/>
  <c r="J214" i="3"/>
  <c r="J31" i="3"/>
  <c r="J200" i="3"/>
  <c r="J235" i="3"/>
  <c r="J21" i="3"/>
  <c r="J260" i="3"/>
  <c r="J134" i="3"/>
  <c r="J228" i="3"/>
  <c r="J156" i="3"/>
  <c r="J239" i="3"/>
  <c r="J153" i="3"/>
  <c r="J222" i="3"/>
  <c r="J103" i="3"/>
  <c r="J266" i="3"/>
  <c r="J174" i="3"/>
  <c r="J210" i="3"/>
  <c r="J181" i="3"/>
  <c r="J40" i="3"/>
  <c r="J151" i="3"/>
  <c r="J229" i="3"/>
  <c r="J246" i="3"/>
  <c r="J208" i="3"/>
  <c r="J185" i="3"/>
  <c r="J61" i="3"/>
  <c r="J13" i="3"/>
  <c r="J137" i="3"/>
  <c r="J35" i="3"/>
  <c r="J69" i="3"/>
  <c r="J39" i="3"/>
  <c r="J57" i="3"/>
  <c r="J193" i="3"/>
  <c r="J19" i="3"/>
  <c r="J141" i="3"/>
  <c r="J204" i="3"/>
  <c r="J59" i="3"/>
  <c r="J83" i="3"/>
  <c r="J155" i="3"/>
  <c r="J25" i="3"/>
  <c r="J215" i="3"/>
  <c r="J167" i="3"/>
  <c r="J149" i="3"/>
  <c r="J171" i="3"/>
  <c r="J14" i="3"/>
  <c r="J109" i="3"/>
  <c r="J36" i="3"/>
  <c r="J256" i="3"/>
  <c r="J182" i="3"/>
  <c r="J62" i="3"/>
  <c r="J277" i="3"/>
  <c r="J41" i="3"/>
  <c r="J173" i="3"/>
  <c r="J111" i="3"/>
  <c r="J199" i="3"/>
  <c r="J79" i="3"/>
  <c r="J220" i="3"/>
  <c r="J190" i="3"/>
  <c r="J201" i="3"/>
  <c r="J248" i="3"/>
  <c r="J107" i="3"/>
  <c r="J194" i="3"/>
  <c r="J284" i="3"/>
  <c r="J157" i="3"/>
  <c r="J180" i="3"/>
  <c r="J110" i="3"/>
  <c r="J209" i="3"/>
  <c r="J88" i="3"/>
  <c r="J73" i="3"/>
  <c r="J165" i="3"/>
  <c r="J132" i="3"/>
  <c r="J7" i="3"/>
  <c r="J67" i="3"/>
  <c r="J135" i="3"/>
  <c r="J252" i="3"/>
  <c r="J192" i="3"/>
  <c r="J219" i="3"/>
  <c r="J255" i="3"/>
  <c r="J71" i="3"/>
  <c r="J37" i="3"/>
  <c r="J230" i="3"/>
  <c r="J89" i="3"/>
  <c r="J205" i="3"/>
  <c r="J113" i="3"/>
  <c r="J198" i="3"/>
  <c r="J84" i="3"/>
  <c r="J212" i="3"/>
  <c r="J187" i="3"/>
  <c r="J129" i="3"/>
  <c r="J147" i="3"/>
  <c r="J268" i="3"/>
  <c r="J115" i="3"/>
  <c r="J27" i="3"/>
  <c r="J232" i="3"/>
  <c r="J55" i="3"/>
  <c r="J213" i="3"/>
  <c r="J45" i="3"/>
  <c r="J234" i="3"/>
  <c r="J217" i="3"/>
  <c r="J245" i="3"/>
  <c r="J117" i="3"/>
  <c r="G169" i="10"/>
  <c r="J160" i="6"/>
  <c r="H160" i="10"/>
  <c r="G168" i="10"/>
  <c r="J159" i="6"/>
  <c r="H159" i="10"/>
  <c r="J163" i="6"/>
  <c r="H163" i="10"/>
  <c r="J161" i="6"/>
  <c r="H161" i="10"/>
  <c r="J158" i="6"/>
  <c r="H158" i="10"/>
  <c r="J162" i="6"/>
  <c r="H162" i="10"/>
  <c r="R170" i="10"/>
  <c r="J164" i="6"/>
  <c r="H164" i="10"/>
  <c r="I141" i="6"/>
  <c r="H141" i="10" s="1"/>
  <c r="I18" i="6"/>
  <c r="H18" i="10" s="1"/>
  <c r="I57" i="6"/>
  <c r="H57" i="10" s="1"/>
  <c r="I150" i="6"/>
  <c r="H150" i="10" s="1"/>
  <c r="I65" i="6"/>
  <c r="H65" i="10" s="1"/>
  <c r="I46" i="6"/>
  <c r="H46" i="10" s="1"/>
  <c r="I35" i="6"/>
  <c r="H35" i="10" s="1"/>
  <c r="I61" i="6"/>
  <c r="H61" i="10" s="1"/>
  <c r="I98" i="6"/>
  <c r="H98" i="10" s="1"/>
  <c r="I110" i="6"/>
  <c r="H110" i="10" s="1"/>
  <c r="I103" i="6"/>
  <c r="H103" i="10" s="1"/>
  <c r="I40" i="6"/>
  <c r="H40" i="10" s="1"/>
  <c r="I69" i="6"/>
  <c r="H69" i="10" s="1"/>
  <c r="I91" i="6"/>
  <c r="H91" i="10" s="1"/>
  <c r="I68" i="6"/>
  <c r="H68" i="10" s="1"/>
  <c r="I124" i="6"/>
  <c r="H124" i="10" s="1"/>
  <c r="I146" i="6"/>
  <c r="H146" i="10" s="1"/>
  <c r="I76" i="6"/>
  <c r="H76" i="10" s="1"/>
  <c r="I143" i="6"/>
  <c r="H143" i="10" s="1"/>
  <c r="I15" i="6"/>
  <c r="H15" i="10" s="1"/>
  <c r="I71" i="6"/>
  <c r="H71" i="10" s="1"/>
  <c r="I122" i="6"/>
  <c r="H122" i="10" s="1"/>
  <c r="I156" i="6"/>
  <c r="H156" i="10" s="1"/>
  <c r="I5" i="6"/>
  <c r="H5" i="10" s="1"/>
  <c r="I10" i="6"/>
  <c r="H10" i="10" s="1"/>
  <c r="I24" i="6"/>
  <c r="H24" i="10" s="1"/>
  <c r="I75" i="6"/>
  <c r="H75" i="10" s="1"/>
  <c r="I153" i="6"/>
  <c r="H153" i="10" s="1"/>
  <c r="I4" i="6"/>
  <c r="H4" i="10" s="1"/>
  <c r="I120" i="6"/>
  <c r="H120" i="10" s="1"/>
  <c r="I147" i="6"/>
  <c r="H147" i="10" s="1"/>
  <c r="I154" i="6"/>
  <c r="H154" i="10" s="1"/>
  <c r="I79" i="6"/>
  <c r="H79" i="10" s="1"/>
  <c r="I132" i="6"/>
  <c r="H132" i="10" s="1"/>
  <c r="I44" i="6"/>
  <c r="H44" i="10" s="1"/>
  <c r="I32" i="6"/>
  <c r="H32" i="10" s="1"/>
  <c r="I13" i="6"/>
  <c r="H13" i="10" s="1"/>
  <c r="I92" i="6"/>
  <c r="H92" i="10" s="1"/>
  <c r="I34" i="6"/>
  <c r="H34" i="10" s="1"/>
  <c r="I42" i="6"/>
  <c r="H42" i="10" s="1"/>
  <c r="I11" i="6"/>
  <c r="H11" i="10" s="1"/>
  <c r="I137" i="6"/>
  <c r="H137" i="10" s="1"/>
  <c r="I108" i="6"/>
  <c r="H108" i="10" s="1"/>
  <c r="I97" i="6"/>
  <c r="H97" i="10" s="1"/>
  <c r="I113" i="6"/>
  <c r="H113" i="10" s="1"/>
  <c r="I145" i="6"/>
  <c r="H145" i="10" s="1"/>
  <c r="I139" i="6"/>
  <c r="H139" i="10" s="1"/>
  <c r="I67" i="6"/>
  <c r="H67" i="10" s="1"/>
  <c r="I88" i="6"/>
  <c r="H88" i="10" s="1"/>
  <c r="I52" i="6"/>
  <c r="H52" i="10" s="1"/>
  <c r="I20" i="6"/>
  <c r="H20" i="10" s="1"/>
  <c r="I19" i="6"/>
  <c r="H19" i="10" s="1"/>
  <c r="I36" i="6"/>
  <c r="H36" i="10" s="1"/>
  <c r="I28" i="6"/>
  <c r="H28" i="10" s="1"/>
  <c r="I31" i="6"/>
  <c r="H31" i="10" s="1"/>
  <c r="I21" i="6"/>
  <c r="H21" i="10" s="1"/>
  <c r="I53" i="6"/>
  <c r="H53" i="10" s="1"/>
  <c r="I131" i="6"/>
  <c r="H131" i="10" s="1"/>
  <c r="I74" i="6"/>
  <c r="H74" i="10" s="1"/>
  <c r="I152" i="6"/>
  <c r="H152" i="10" s="1"/>
  <c r="I129" i="6"/>
  <c r="H129" i="10" s="1"/>
  <c r="I12" i="6"/>
  <c r="H12" i="10" s="1"/>
  <c r="I43" i="6"/>
  <c r="H43" i="10" s="1"/>
  <c r="I63" i="6"/>
  <c r="H63" i="10" s="1"/>
  <c r="I89" i="6"/>
  <c r="H89" i="10" s="1"/>
  <c r="I8" i="6"/>
  <c r="H8" i="10" s="1"/>
  <c r="I85" i="6"/>
  <c r="H85" i="10" s="1"/>
  <c r="I17" i="6"/>
  <c r="H17" i="10" s="1"/>
  <c r="I50" i="6"/>
  <c r="H50" i="10" s="1"/>
  <c r="I118" i="6"/>
  <c r="H118" i="10" s="1"/>
  <c r="I135" i="6"/>
  <c r="H135" i="10" s="1"/>
  <c r="I26" i="6"/>
  <c r="H26" i="10" s="1"/>
  <c r="I51" i="6"/>
  <c r="H51" i="10" s="1"/>
  <c r="I94" i="6"/>
  <c r="H94" i="10" s="1"/>
  <c r="I130" i="6"/>
  <c r="H130" i="10" s="1"/>
  <c r="I62" i="6"/>
  <c r="H62" i="10" s="1"/>
  <c r="I149" i="6"/>
  <c r="H149" i="10" s="1"/>
  <c r="I123" i="6"/>
  <c r="H123" i="10" s="1"/>
  <c r="I81" i="6"/>
  <c r="H81" i="10" s="1"/>
  <c r="I96" i="6"/>
  <c r="H96" i="10" s="1"/>
  <c r="I148" i="6"/>
  <c r="H148" i="10" s="1"/>
  <c r="I90" i="6"/>
  <c r="H90" i="10" s="1"/>
  <c r="I6" i="6"/>
  <c r="H6" i="10" s="1"/>
  <c r="I83" i="6"/>
  <c r="H83" i="10" s="1"/>
  <c r="I116" i="6"/>
  <c r="H116" i="10" s="1"/>
  <c r="I41" i="6"/>
  <c r="H41" i="10" s="1"/>
  <c r="I48" i="6"/>
  <c r="H48" i="10" s="1"/>
  <c r="I155" i="6"/>
  <c r="H155" i="10" s="1"/>
  <c r="I136" i="6"/>
  <c r="H136" i="10" s="1"/>
  <c r="I66" i="6"/>
  <c r="H66" i="10" s="1"/>
  <c r="I107" i="6"/>
  <c r="H107" i="10" s="1"/>
  <c r="I23" i="6"/>
  <c r="H23" i="10" s="1"/>
  <c r="I157" i="6"/>
  <c r="H157" i="10" s="1"/>
  <c r="I117" i="6"/>
  <c r="H117" i="10" s="1"/>
  <c r="I119" i="6"/>
  <c r="H119" i="10" s="1"/>
  <c r="I73" i="6"/>
  <c r="H73" i="10" s="1"/>
  <c r="I49" i="6"/>
  <c r="H49" i="10" s="1"/>
  <c r="I99" i="6"/>
  <c r="H99" i="10" s="1"/>
  <c r="I56" i="6"/>
  <c r="H56" i="10" s="1"/>
  <c r="I77" i="6"/>
  <c r="H77" i="10" s="1"/>
  <c r="I100" i="6"/>
  <c r="H100" i="10" s="1"/>
  <c r="I106" i="6"/>
  <c r="H106" i="10" s="1"/>
  <c r="I138" i="6"/>
  <c r="H138" i="10" s="1"/>
  <c r="I38" i="6"/>
  <c r="H38" i="10" s="1"/>
  <c r="I60" i="6"/>
  <c r="H60" i="10" s="1"/>
  <c r="I114" i="6"/>
  <c r="H114" i="10" s="1"/>
  <c r="I72" i="6"/>
  <c r="H72" i="10" s="1"/>
  <c r="I27" i="6"/>
  <c r="H27" i="10" s="1"/>
  <c r="I58" i="6"/>
  <c r="H58" i="10" s="1"/>
  <c r="I144" i="6"/>
  <c r="H144" i="10" s="1"/>
  <c r="I111" i="6"/>
  <c r="H111" i="10" s="1"/>
  <c r="I16" i="6"/>
  <c r="H16" i="10" s="1"/>
  <c r="I55" i="6"/>
  <c r="H55" i="10" s="1"/>
  <c r="I78" i="6"/>
  <c r="H78" i="10" s="1"/>
  <c r="I9" i="6"/>
  <c r="H9" i="10" s="1"/>
  <c r="I33" i="6"/>
  <c r="H33" i="10" s="1"/>
  <c r="I7" i="6"/>
  <c r="H7" i="10" s="1"/>
  <c r="I82" i="6"/>
  <c r="H82" i="10" s="1"/>
  <c r="I126" i="6"/>
  <c r="H126" i="10" s="1"/>
  <c r="I30" i="6"/>
  <c r="H30" i="10" s="1"/>
  <c r="I140" i="6"/>
  <c r="H140" i="10" s="1"/>
  <c r="I37" i="6"/>
  <c r="H37" i="10" s="1"/>
  <c r="I59" i="6"/>
  <c r="H59" i="10" s="1"/>
  <c r="I109" i="6"/>
  <c r="H109" i="10" s="1"/>
  <c r="I39" i="6"/>
  <c r="H39" i="10" s="1"/>
  <c r="I142" i="6"/>
  <c r="H142" i="10" s="1"/>
  <c r="I25" i="6"/>
  <c r="H25" i="10" s="1"/>
  <c r="I105" i="6"/>
  <c r="H105" i="10" s="1"/>
  <c r="I54" i="6"/>
  <c r="H54" i="10" s="1"/>
  <c r="I45" i="6"/>
  <c r="H45" i="10" s="1"/>
  <c r="I86" i="6"/>
  <c r="H86" i="10" s="1"/>
  <c r="I22" i="6"/>
  <c r="H22" i="10" s="1"/>
  <c r="I127" i="6"/>
  <c r="H127" i="10" s="1"/>
  <c r="I47" i="6"/>
  <c r="H47" i="10" s="1"/>
  <c r="I3" i="6"/>
  <c r="H3" i="10" s="1"/>
  <c r="I134" i="6"/>
  <c r="H134" i="10" s="1"/>
  <c r="I80" i="6"/>
  <c r="H80" i="10" s="1"/>
  <c r="I87" i="6"/>
  <c r="H87" i="10" s="1"/>
  <c r="I133" i="6"/>
  <c r="H133" i="10" s="1"/>
  <c r="I101" i="6"/>
  <c r="H101" i="10" s="1"/>
  <c r="I64" i="6"/>
  <c r="H64" i="10" s="1"/>
  <c r="I29" i="6"/>
  <c r="H29" i="10" s="1"/>
  <c r="I121" i="6"/>
  <c r="H121" i="10" s="1"/>
  <c r="I95" i="6"/>
  <c r="H95" i="10" s="1"/>
  <c r="I128" i="6"/>
  <c r="H128" i="10" s="1"/>
  <c r="I102" i="6"/>
  <c r="H102" i="10" s="1"/>
  <c r="I14" i="6"/>
  <c r="H14" i="10" s="1"/>
  <c r="I115" i="6"/>
  <c r="H115" i="10" s="1"/>
  <c r="I93" i="6"/>
  <c r="H93" i="10" s="1"/>
  <c r="I151" i="6"/>
  <c r="H151" i="10" s="1"/>
  <c r="I112" i="6"/>
  <c r="H112" i="10" s="1"/>
  <c r="I104" i="6"/>
  <c r="H104" i="10" s="1"/>
  <c r="I125" i="6"/>
  <c r="H125" i="10" s="1"/>
  <c r="I84" i="6"/>
  <c r="H84" i="10" s="1"/>
  <c r="I70" i="6"/>
  <c r="H70" i="10" s="1"/>
  <c r="J301" i="3" l="1"/>
  <c r="J300" i="3"/>
  <c r="U302" i="3"/>
  <c r="AF7" i="3"/>
  <c r="AB24" i="3"/>
  <c r="K290" i="3"/>
  <c r="K296" i="3"/>
  <c r="K292" i="3"/>
  <c r="K297" i="3"/>
  <c r="K291" i="3"/>
  <c r="K295" i="3"/>
  <c r="K287" i="3"/>
  <c r="K293" i="3"/>
  <c r="K3" i="3"/>
  <c r="K286" i="3"/>
  <c r="K294" i="3"/>
  <c r="K288" i="3"/>
  <c r="K289" i="3"/>
  <c r="K198" i="3"/>
  <c r="K197" i="3"/>
  <c r="K196" i="3"/>
  <c r="K147" i="3"/>
  <c r="K99" i="3"/>
  <c r="K51" i="3"/>
  <c r="K190" i="3"/>
  <c r="K284" i="3"/>
  <c r="K188" i="3"/>
  <c r="K202" i="3"/>
  <c r="K106" i="3"/>
  <c r="K34" i="3"/>
  <c r="K225" i="3"/>
  <c r="K128" i="3"/>
  <c r="K80" i="3"/>
  <c r="K32" i="3"/>
  <c r="K130" i="3"/>
  <c r="K122" i="3"/>
  <c r="K168" i="3"/>
  <c r="K120" i="3"/>
  <c r="K72" i="3"/>
  <c r="K24" i="3"/>
  <c r="K74" i="3"/>
  <c r="K227" i="3"/>
  <c r="K50" i="3"/>
  <c r="K162" i="3"/>
  <c r="K114" i="3"/>
  <c r="K66" i="3"/>
  <c r="K18" i="3"/>
  <c r="K148" i="3"/>
  <c r="K100" i="3"/>
  <c r="K52" i="3"/>
  <c r="K4" i="3"/>
  <c r="K102" i="3"/>
  <c r="K54" i="3"/>
  <c r="K6" i="3"/>
  <c r="K238" i="3"/>
  <c r="K142" i="3"/>
  <c r="K94" i="3"/>
  <c r="K46" i="3"/>
  <c r="K189" i="3"/>
  <c r="K140" i="3"/>
  <c r="K92" i="3"/>
  <c r="K44" i="3"/>
  <c r="K251" i="3"/>
  <c r="K264" i="3"/>
  <c r="K242" i="3"/>
  <c r="K250" i="3"/>
  <c r="K101" i="3"/>
  <c r="K5" i="3"/>
  <c r="K129" i="3"/>
  <c r="K31" i="3"/>
  <c r="K243" i="3"/>
  <c r="K15" i="3"/>
  <c r="K41" i="3"/>
  <c r="K169" i="3"/>
  <c r="K195" i="3"/>
  <c r="K45" i="3"/>
  <c r="K236" i="3"/>
  <c r="K281" i="3"/>
  <c r="K206" i="3"/>
  <c r="K280" i="3"/>
  <c r="K11" i="3"/>
  <c r="K79" i="3"/>
  <c r="K145" i="3"/>
  <c r="K239" i="3"/>
  <c r="K270" i="3"/>
  <c r="K211" i="3"/>
  <c r="K221" i="3"/>
  <c r="K93" i="3"/>
  <c r="K161" i="3"/>
  <c r="K228" i="3"/>
  <c r="K180" i="3"/>
  <c r="K272" i="3"/>
  <c r="K224" i="3"/>
  <c r="K175" i="3"/>
  <c r="K49" i="3"/>
  <c r="K47" i="3"/>
  <c r="K258" i="3"/>
  <c r="K29" i="3"/>
  <c r="K231" i="3"/>
  <c r="K274" i="3"/>
  <c r="K81" i="3"/>
  <c r="K176" i="3"/>
  <c r="K127" i="3"/>
  <c r="K97" i="3"/>
  <c r="K95" i="3"/>
  <c r="K222" i="3"/>
  <c r="K87" i="3"/>
  <c r="K200" i="3"/>
  <c r="K193" i="3"/>
  <c r="K192" i="3"/>
  <c r="K194" i="3"/>
  <c r="K235" i="3"/>
  <c r="K171" i="3"/>
  <c r="K123" i="3"/>
  <c r="K75" i="3"/>
  <c r="K27" i="3"/>
  <c r="K260" i="3"/>
  <c r="K154" i="3"/>
  <c r="K82" i="3"/>
  <c r="K10" i="3"/>
  <c r="K201" i="3"/>
  <c r="K152" i="3"/>
  <c r="K104" i="3"/>
  <c r="K56" i="3"/>
  <c r="K8" i="3"/>
  <c r="K26" i="3"/>
  <c r="K121" i="3"/>
  <c r="K144" i="3"/>
  <c r="K96" i="3"/>
  <c r="K48" i="3"/>
  <c r="K55" i="3"/>
  <c r="K178" i="3"/>
  <c r="K98" i="3"/>
  <c r="K71" i="3"/>
  <c r="K259" i="3"/>
  <c r="K78" i="3"/>
  <c r="K68" i="3"/>
  <c r="K89" i="3"/>
  <c r="K232" i="3"/>
  <c r="K133" i="3"/>
  <c r="K37" i="3"/>
  <c r="K257" i="3"/>
  <c r="K16" i="3"/>
  <c r="K278" i="3"/>
  <c r="K276" i="3"/>
  <c r="K38" i="3"/>
  <c r="K233" i="3"/>
  <c r="K137" i="3"/>
  <c r="K164" i="3"/>
  <c r="K249" i="3"/>
  <c r="K247" i="3"/>
  <c r="K263" i="3"/>
  <c r="K53" i="3"/>
  <c r="K112" i="3"/>
  <c r="K64" i="3"/>
  <c r="K12" i="3"/>
  <c r="K60" i="3"/>
  <c r="K170" i="3"/>
  <c r="K240" i="3"/>
  <c r="K23" i="3"/>
  <c r="K91" i="3"/>
  <c r="K43" i="3"/>
  <c r="K282" i="3"/>
  <c r="K203" i="3"/>
  <c r="K177" i="3"/>
  <c r="K191" i="3"/>
  <c r="K207" i="3"/>
  <c r="K86" i="3"/>
  <c r="K226" i="3"/>
  <c r="K265" i="3"/>
  <c r="K138" i="3"/>
  <c r="K22" i="3"/>
  <c r="K116" i="3"/>
  <c r="K108" i="3"/>
  <c r="K19" i="3"/>
  <c r="K214" i="3"/>
  <c r="K105" i="3"/>
  <c r="K244" i="3"/>
  <c r="K172" i="3"/>
  <c r="K77" i="3"/>
  <c r="K213" i="3"/>
  <c r="K254" i="3"/>
  <c r="K65" i="3"/>
  <c r="K181" i="3"/>
  <c r="K266" i="3"/>
  <c r="K70" i="3"/>
  <c r="K256" i="3"/>
  <c r="K103" i="3"/>
  <c r="K146" i="3"/>
  <c r="K149" i="3"/>
  <c r="K126" i="3"/>
  <c r="K173" i="3"/>
  <c r="K21" i="3"/>
  <c r="K63" i="3"/>
  <c r="K134" i="3"/>
  <c r="K229" i="3"/>
  <c r="K156" i="3"/>
  <c r="K141" i="3"/>
  <c r="K57" i="3"/>
  <c r="K223" i="3"/>
  <c r="K179" i="3"/>
  <c r="K119" i="3"/>
  <c r="K210" i="3"/>
  <c r="K40" i="3"/>
  <c r="K262" i="3"/>
  <c r="K139" i="3"/>
  <c r="K61" i="3"/>
  <c r="K151" i="3"/>
  <c r="K246" i="3"/>
  <c r="K131" i="3"/>
  <c r="K159" i="3"/>
  <c r="K109" i="3"/>
  <c r="K13" i="3"/>
  <c r="K204" i="3"/>
  <c r="K153" i="3"/>
  <c r="K67" i="3"/>
  <c r="K261" i="3"/>
  <c r="K241" i="3"/>
  <c r="K186" i="3"/>
  <c r="K28" i="3"/>
  <c r="K271" i="3"/>
  <c r="K237" i="3"/>
  <c r="K117" i="3"/>
  <c r="K252" i="3"/>
  <c r="K150" i="3"/>
  <c r="K269" i="3"/>
  <c r="K208" i="3"/>
  <c r="K279" i="3"/>
  <c r="K185" i="3"/>
  <c r="K17" i="3"/>
  <c r="K183" i="3"/>
  <c r="K59" i="3"/>
  <c r="K160" i="3"/>
  <c r="K14" i="3"/>
  <c r="K36" i="3"/>
  <c r="K216" i="3"/>
  <c r="K275" i="3"/>
  <c r="K136" i="3"/>
  <c r="K83" i="3"/>
  <c r="K33" i="3"/>
  <c r="K155" i="3"/>
  <c r="K25" i="3"/>
  <c r="K174" i="3"/>
  <c r="K215" i="3"/>
  <c r="K167" i="3"/>
  <c r="K283" i="3"/>
  <c r="K163" i="3"/>
  <c r="K42" i="3"/>
  <c r="K118" i="3"/>
  <c r="K107" i="3"/>
  <c r="K245" i="3"/>
  <c r="K76" i="3"/>
  <c r="K39" i="3"/>
  <c r="K255" i="3"/>
  <c r="K84" i="3"/>
  <c r="K73" i="3"/>
  <c r="K234" i="3"/>
  <c r="K88" i="3"/>
  <c r="K184" i="3"/>
  <c r="K212" i="3"/>
  <c r="K111" i="3"/>
  <c r="K7" i="3"/>
  <c r="K158" i="3"/>
  <c r="K157" i="3"/>
  <c r="K268" i="3"/>
  <c r="K69" i="3"/>
  <c r="K115" i="3"/>
  <c r="K187" i="3"/>
  <c r="K9" i="3"/>
  <c r="K62" i="3"/>
  <c r="K125" i="3"/>
  <c r="K230" i="3"/>
  <c r="K143" i="3"/>
  <c r="K20" i="3"/>
  <c r="K199" i="3"/>
  <c r="K135" i="3"/>
  <c r="K124" i="3"/>
  <c r="K273" i="3"/>
  <c r="K85" i="3"/>
  <c r="K35" i="3"/>
  <c r="K165" i="3"/>
  <c r="K219" i="3"/>
  <c r="K253" i="3"/>
  <c r="K113" i="3"/>
  <c r="K166" i="3"/>
  <c r="K30" i="3"/>
  <c r="K267" i="3"/>
  <c r="K58" i="3"/>
  <c r="K205" i="3"/>
  <c r="K90" i="3"/>
  <c r="K110" i="3"/>
  <c r="K132" i="3"/>
  <c r="K182" i="3"/>
  <c r="K218" i="3"/>
  <c r="K285" i="3"/>
  <c r="K277" i="3"/>
  <c r="K217" i="3"/>
  <c r="K220" i="3"/>
  <c r="K209" i="3"/>
  <c r="K248" i="3"/>
  <c r="K164" i="6"/>
  <c r="I164" i="10"/>
  <c r="H169" i="10"/>
  <c r="K158" i="6"/>
  <c r="I158" i="10"/>
  <c r="K161" i="6"/>
  <c r="I161" i="10"/>
  <c r="K162" i="6"/>
  <c r="I162" i="10"/>
  <c r="K163" i="6"/>
  <c r="I163" i="10"/>
  <c r="K159" i="6"/>
  <c r="I159" i="10"/>
  <c r="G170" i="10"/>
  <c r="H168" i="10"/>
  <c r="H170" i="10" s="1"/>
  <c r="K160" i="6"/>
  <c r="I160" i="10"/>
  <c r="J83" i="6"/>
  <c r="I83" i="10" s="1"/>
  <c r="J30" i="6"/>
  <c r="I30" i="10" s="1"/>
  <c r="J125" i="6"/>
  <c r="I125" i="10" s="1"/>
  <c r="J64" i="6"/>
  <c r="I64" i="10" s="1"/>
  <c r="J54" i="6"/>
  <c r="I54" i="10" s="1"/>
  <c r="J7" i="6"/>
  <c r="I7" i="10" s="1"/>
  <c r="J50" i="6"/>
  <c r="I50" i="10" s="1"/>
  <c r="J53" i="6"/>
  <c r="I53" i="10" s="1"/>
  <c r="J113" i="6"/>
  <c r="I113" i="10" s="1"/>
  <c r="J79" i="6"/>
  <c r="I79" i="10" s="1"/>
  <c r="J71" i="6"/>
  <c r="I71" i="10" s="1"/>
  <c r="J98" i="6"/>
  <c r="I98" i="10" s="1"/>
  <c r="J6" i="6"/>
  <c r="I6" i="10" s="1"/>
  <c r="J101" i="6"/>
  <c r="I101" i="10" s="1"/>
  <c r="J72" i="6"/>
  <c r="I72" i="10" s="1"/>
  <c r="J27" i="6"/>
  <c r="I27" i="10" s="1"/>
  <c r="J119" i="6"/>
  <c r="I119" i="10" s="1"/>
  <c r="J84" i="6"/>
  <c r="I84" i="10" s="1"/>
  <c r="J118" i="6"/>
  <c r="I118" i="10" s="1"/>
  <c r="J133" i="6"/>
  <c r="I133" i="10" s="1"/>
  <c r="J22" i="6"/>
  <c r="I22" i="10" s="1"/>
  <c r="J26" i="6"/>
  <c r="I26" i="10" s="1"/>
  <c r="J5" i="6"/>
  <c r="I5" i="10" s="1"/>
  <c r="J74" i="6"/>
  <c r="I74" i="10" s="1"/>
  <c r="J131" i="6"/>
  <c r="I131" i="10" s="1"/>
  <c r="J126" i="6"/>
  <c r="I126" i="10" s="1"/>
  <c r="J45" i="6"/>
  <c r="I45" i="10" s="1"/>
  <c r="J117" i="6"/>
  <c r="I117" i="10" s="1"/>
  <c r="J148" i="6"/>
  <c r="I148" i="10" s="1"/>
  <c r="J23" i="6"/>
  <c r="I23" i="10" s="1"/>
  <c r="J143" i="6"/>
  <c r="I143" i="10" s="1"/>
  <c r="J120" i="6"/>
  <c r="I120" i="10" s="1"/>
  <c r="J136" i="6"/>
  <c r="I136" i="10" s="1"/>
  <c r="J149" i="6"/>
  <c r="I149" i="10" s="1"/>
  <c r="J89" i="6"/>
  <c r="I89" i="10" s="1"/>
  <c r="J36" i="6"/>
  <c r="I36" i="10" s="1"/>
  <c r="J11" i="6"/>
  <c r="I11" i="10" s="1"/>
  <c r="J4" i="6"/>
  <c r="I4" i="10" s="1"/>
  <c r="J146" i="6"/>
  <c r="I146" i="10" s="1"/>
  <c r="J65" i="6"/>
  <c r="I65" i="10" s="1"/>
  <c r="J82" i="6"/>
  <c r="I82" i="10" s="1"/>
  <c r="J90" i="6"/>
  <c r="I90" i="10" s="1"/>
  <c r="J96" i="6"/>
  <c r="I96" i="10" s="1"/>
  <c r="J147" i="6"/>
  <c r="I147" i="10" s="1"/>
  <c r="J123" i="6"/>
  <c r="I123" i="10" s="1"/>
  <c r="J93" i="6"/>
  <c r="I93" i="10" s="1"/>
  <c r="J21" i="6"/>
  <c r="I21" i="10" s="1"/>
  <c r="J138" i="6"/>
  <c r="I138" i="10" s="1"/>
  <c r="J87" i="6"/>
  <c r="I87" i="10" s="1"/>
  <c r="J62" i="6"/>
  <c r="I62" i="10" s="1"/>
  <c r="J63" i="6"/>
  <c r="I63" i="10" s="1"/>
  <c r="J19" i="6"/>
  <c r="I19" i="10" s="1"/>
  <c r="J42" i="6"/>
  <c r="I42" i="10" s="1"/>
  <c r="J153" i="6"/>
  <c r="I153" i="10" s="1"/>
  <c r="J124" i="6"/>
  <c r="I124" i="10" s="1"/>
  <c r="J150" i="6"/>
  <c r="I150" i="10" s="1"/>
  <c r="J67" i="6"/>
  <c r="I67" i="10" s="1"/>
  <c r="J156" i="6"/>
  <c r="I156" i="10" s="1"/>
  <c r="J122" i="6"/>
  <c r="I122" i="10" s="1"/>
  <c r="J97" i="6"/>
  <c r="I97" i="10" s="1"/>
  <c r="J108" i="6"/>
  <c r="I108" i="10" s="1"/>
  <c r="J28" i="6"/>
  <c r="I28" i="10" s="1"/>
  <c r="J14" i="6"/>
  <c r="I14" i="10" s="1"/>
  <c r="J73" i="6"/>
  <c r="I73" i="10" s="1"/>
  <c r="J70" i="6"/>
  <c r="I70" i="10" s="1"/>
  <c r="J103" i="6"/>
  <c r="I103" i="10" s="1"/>
  <c r="J110" i="6"/>
  <c r="I110" i="10" s="1"/>
  <c r="J33" i="6"/>
  <c r="I33" i="10" s="1"/>
  <c r="J38" i="6"/>
  <c r="I38" i="10" s="1"/>
  <c r="J17" i="6"/>
  <c r="I17" i="10" s="1"/>
  <c r="J112" i="6"/>
  <c r="I112" i="10" s="1"/>
  <c r="J107" i="6"/>
  <c r="I107" i="10" s="1"/>
  <c r="J142" i="6"/>
  <c r="I142" i="10" s="1"/>
  <c r="J95" i="6"/>
  <c r="I95" i="10" s="1"/>
  <c r="J152" i="6"/>
  <c r="I152" i="10" s="1"/>
  <c r="J44" i="6"/>
  <c r="I44" i="10" s="1"/>
  <c r="J132" i="6"/>
  <c r="I132" i="10" s="1"/>
  <c r="J157" i="6"/>
  <c r="I157" i="10" s="1"/>
  <c r="J61" i="6"/>
  <c r="I61" i="10" s="1"/>
  <c r="J9" i="6"/>
  <c r="I9" i="10" s="1"/>
  <c r="J31" i="6"/>
  <c r="I31" i="10" s="1"/>
  <c r="J78" i="6"/>
  <c r="I78" i="10" s="1"/>
  <c r="J66" i="6"/>
  <c r="I66" i="10" s="1"/>
  <c r="J76" i="6"/>
  <c r="I76" i="10" s="1"/>
  <c r="J39" i="6"/>
  <c r="I39" i="10" s="1"/>
  <c r="J115" i="6"/>
  <c r="I115" i="10" s="1"/>
  <c r="J155" i="6"/>
  <c r="I155" i="10" s="1"/>
  <c r="J56" i="6"/>
  <c r="I56" i="10" s="1"/>
  <c r="J130" i="6"/>
  <c r="I130" i="10" s="1"/>
  <c r="J43" i="6"/>
  <c r="I43" i="10" s="1"/>
  <c r="J20" i="6"/>
  <c r="I20" i="10" s="1"/>
  <c r="J34" i="6"/>
  <c r="I34" i="10" s="1"/>
  <c r="J102" i="6"/>
  <c r="I102" i="10" s="1"/>
  <c r="J47" i="6"/>
  <c r="I47" i="10" s="1"/>
  <c r="J37" i="6"/>
  <c r="I37" i="10" s="1"/>
  <c r="J32" i="6"/>
  <c r="I32" i="10" s="1"/>
  <c r="J121" i="6"/>
  <c r="I121" i="10" s="1"/>
  <c r="J139" i="6"/>
  <c r="I139" i="10" s="1"/>
  <c r="J81" i="6"/>
  <c r="I81" i="10" s="1"/>
  <c r="J151" i="6"/>
  <c r="I151" i="10" s="1"/>
  <c r="J137" i="6"/>
  <c r="I137" i="10" s="1"/>
  <c r="J134" i="6"/>
  <c r="I134" i="10" s="1"/>
  <c r="J16" i="6"/>
  <c r="I16" i="10" s="1"/>
  <c r="J59" i="6"/>
  <c r="I59" i="10" s="1"/>
  <c r="J111" i="6"/>
  <c r="I111" i="10" s="1"/>
  <c r="J68" i="6"/>
  <c r="I68" i="10" s="1"/>
  <c r="J144" i="6"/>
  <c r="I144" i="10" s="1"/>
  <c r="J99" i="6"/>
  <c r="I99" i="10" s="1"/>
  <c r="J41" i="6"/>
  <c r="I41" i="10" s="1"/>
  <c r="J94" i="6"/>
  <c r="I94" i="10" s="1"/>
  <c r="J12" i="6"/>
  <c r="I12" i="10" s="1"/>
  <c r="J52" i="6"/>
  <c r="I52" i="10" s="1"/>
  <c r="J92" i="6"/>
  <c r="I92" i="10" s="1"/>
  <c r="J24" i="6"/>
  <c r="I24" i="10" s="1"/>
  <c r="J91" i="6"/>
  <c r="I91" i="10" s="1"/>
  <c r="J18" i="6"/>
  <c r="I18" i="10" s="1"/>
  <c r="J86" i="6"/>
  <c r="I86" i="10" s="1"/>
  <c r="J135" i="6"/>
  <c r="I135" i="10" s="1"/>
  <c r="J29" i="6"/>
  <c r="I29" i="10" s="1"/>
  <c r="J114" i="6"/>
  <c r="I114" i="10" s="1"/>
  <c r="J145" i="6"/>
  <c r="I145" i="10" s="1"/>
  <c r="J60" i="6"/>
  <c r="I60" i="10" s="1"/>
  <c r="J104" i="6"/>
  <c r="I104" i="10" s="1"/>
  <c r="J15" i="6"/>
  <c r="I15" i="10" s="1"/>
  <c r="J25" i="6"/>
  <c r="I25" i="10" s="1"/>
  <c r="J85" i="6"/>
  <c r="I85" i="10" s="1"/>
  <c r="J106" i="6"/>
  <c r="I106" i="10" s="1"/>
  <c r="J8" i="6"/>
  <c r="I8" i="10" s="1"/>
  <c r="J80" i="6"/>
  <c r="I80" i="10" s="1"/>
  <c r="J109" i="6"/>
  <c r="I109" i="10" s="1"/>
  <c r="J3" i="6"/>
  <c r="I3" i="10" s="1"/>
  <c r="J48" i="6"/>
  <c r="I48" i="10" s="1"/>
  <c r="J75" i="6"/>
  <c r="I75" i="10" s="1"/>
  <c r="J128" i="6"/>
  <c r="I128" i="10" s="1"/>
  <c r="J127" i="6"/>
  <c r="I127" i="10" s="1"/>
  <c r="J140" i="6"/>
  <c r="I140" i="10" s="1"/>
  <c r="J40" i="6"/>
  <c r="I40" i="10" s="1"/>
  <c r="J105" i="6"/>
  <c r="I105" i="10" s="1"/>
  <c r="J154" i="6"/>
  <c r="I154" i="10" s="1"/>
  <c r="J35" i="6"/>
  <c r="I35" i="10" s="1"/>
  <c r="J46" i="6"/>
  <c r="I46" i="10" s="1"/>
  <c r="J55" i="6"/>
  <c r="I55" i="10" s="1"/>
  <c r="J100" i="6"/>
  <c r="I100" i="10" s="1"/>
  <c r="J77" i="6"/>
  <c r="I77" i="10" s="1"/>
  <c r="J57" i="6"/>
  <c r="I57" i="10" s="1"/>
  <c r="J58" i="6"/>
  <c r="I58" i="10" s="1"/>
  <c r="J49" i="6"/>
  <c r="I49" i="10" s="1"/>
  <c r="J116" i="6"/>
  <c r="I116" i="10" s="1"/>
  <c r="J51" i="6"/>
  <c r="I51" i="10" s="1"/>
  <c r="J129" i="6"/>
  <c r="I129" i="10" s="1"/>
  <c r="J88" i="6"/>
  <c r="I88" i="10" s="1"/>
  <c r="J13" i="6"/>
  <c r="I13" i="10" s="1"/>
  <c r="J10" i="6"/>
  <c r="I10" i="10" s="1"/>
  <c r="J69" i="6"/>
  <c r="I69" i="10" s="1"/>
  <c r="J141" i="6"/>
  <c r="I141" i="10" s="1"/>
  <c r="J302" i="3" l="1"/>
  <c r="K301" i="3"/>
  <c r="K300" i="3"/>
  <c r="L290" i="3"/>
  <c r="L297" i="3"/>
  <c r="L296" i="3"/>
  <c r="L294" i="3"/>
  <c r="L291" i="3"/>
  <c r="L292" i="3"/>
  <c r="L293" i="3"/>
  <c r="L286" i="3"/>
  <c r="L295" i="3"/>
  <c r="L288" i="3"/>
  <c r="L289" i="3"/>
  <c r="L287" i="3"/>
  <c r="L3" i="3"/>
  <c r="L176" i="3"/>
  <c r="L264" i="3"/>
  <c r="L178" i="3"/>
  <c r="L237" i="3"/>
  <c r="L113" i="3"/>
  <c r="L79" i="3"/>
  <c r="L31" i="3"/>
  <c r="L251" i="3"/>
  <c r="L91" i="3"/>
  <c r="L225" i="3"/>
  <c r="L265" i="3"/>
  <c r="L97" i="3"/>
  <c r="L218" i="3"/>
  <c r="L47" i="3"/>
  <c r="L259" i="3"/>
  <c r="L163" i="3"/>
  <c r="L197" i="3"/>
  <c r="L148" i="3"/>
  <c r="L100" i="3"/>
  <c r="L52" i="3"/>
  <c r="L4" i="3"/>
  <c r="L34" i="3"/>
  <c r="L198" i="3"/>
  <c r="L217" i="3"/>
  <c r="L120" i="3"/>
  <c r="L145" i="3"/>
  <c r="L191" i="3"/>
  <c r="L114" i="3"/>
  <c r="L102" i="3"/>
  <c r="L125" i="3"/>
  <c r="L190" i="3"/>
  <c r="L94" i="3"/>
  <c r="L284" i="3"/>
  <c r="L63" i="3"/>
  <c r="L280" i="3"/>
  <c r="L37" i="3"/>
  <c r="L36" i="3"/>
  <c r="L274" i="3"/>
  <c r="L129" i="3"/>
  <c r="L224" i="3"/>
  <c r="L223" i="3"/>
  <c r="L72" i="3"/>
  <c r="L239" i="3"/>
  <c r="L221" i="3"/>
  <c r="L44" i="3"/>
  <c r="L112" i="3"/>
  <c r="L160" i="3"/>
  <c r="L110" i="3"/>
  <c r="L85" i="3"/>
  <c r="L59" i="3"/>
  <c r="L203" i="3"/>
  <c r="L273" i="3"/>
  <c r="L130" i="3"/>
  <c r="L169" i="3"/>
  <c r="L95" i="3"/>
  <c r="L43" i="3"/>
  <c r="L210" i="3"/>
  <c r="L18" i="3"/>
  <c r="L243" i="3"/>
  <c r="L195" i="3"/>
  <c r="L141" i="3"/>
  <c r="L140" i="3"/>
  <c r="L183" i="3"/>
  <c r="L229" i="3"/>
  <c r="L177" i="3"/>
  <c r="L32" i="3"/>
  <c r="L122" i="3"/>
  <c r="L143" i="3"/>
  <c r="L244" i="3"/>
  <c r="L142" i="3"/>
  <c r="L189" i="3"/>
  <c r="L257" i="3"/>
  <c r="L62" i="3"/>
  <c r="L202" i="3"/>
  <c r="L179" i="3"/>
  <c r="L242" i="3"/>
  <c r="L50" i="3"/>
  <c r="L258" i="3"/>
  <c r="L66" i="3"/>
  <c r="L29" i="3"/>
  <c r="L147" i="3"/>
  <c r="L99" i="3"/>
  <c r="L209" i="3"/>
  <c r="L228" i="3"/>
  <c r="L199" i="3"/>
  <c r="L174" i="3"/>
  <c r="L215" i="3"/>
  <c r="L89" i="3"/>
  <c r="L103" i="3"/>
  <c r="L73" i="3"/>
  <c r="L240" i="3"/>
  <c r="L249" i="3"/>
  <c r="L7" i="3"/>
  <c r="L121" i="3"/>
  <c r="L49" i="3"/>
  <c r="L58" i="3"/>
  <c r="L124" i="3"/>
  <c r="L165" i="3"/>
  <c r="L207" i="3"/>
  <c r="L35" i="3"/>
  <c r="L232" i="3"/>
  <c r="L206" i="3"/>
  <c r="L111" i="3"/>
  <c r="L17" i="3"/>
  <c r="L16" i="3"/>
  <c r="L135" i="3"/>
  <c r="L88" i="3"/>
  <c r="L181" i="3"/>
  <c r="L153" i="3"/>
  <c r="L139" i="3"/>
  <c r="L15" i="3"/>
  <c r="L61" i="3"/>
  <c r="L156" i="3"/>
  <c r="L127" i="3"/>
  <c r="L48" i="3"/>
  <c r="L71" i="3"/>
  <c r="L90" i="3"/>
  <c r="L219" i="3"/>
  <c r="L27" i="3"/>
  <c r="L213" i="3"/>
  <c r="L45" i="3"/>
  <c r="L247" i="3"/>
  <c r="L175" i="3"/>
  <c r="L55" i="3"/>
  <c r="L162" i="3"/>
  <c r="L53" i="3"/>
  <c r="L196" i="3"/>
  <c r="L30" i="3"/>
  <c r="L261" i="3"/>
  <c r="L158" i="3"/>
  <c r="L8" i="3"/>
  <c r="L98" i="3"/>
  <c r="L123" i="3"/>
  <c r="L214" i="3"/>
  <c r="L260" i="3"/>
  <c r="L80" i="3"/>
  <c r="L193" i="3"/>
  <c r="L235" i="3"/>
  <c r="L78" i="3"/>
  <c r="L212" i="3"/>
  <c r="L20" i="3"/>
  <c r="L133" i="3"/>
  <c r="L281" i="3"/>
  <c r="L282" i="3"/>
  <c r="L93" i="3"/>
  <c r="L272" i="3"/>
  <c r="L51" i="3"/>
  <c r="L22" i="3"/>
  <c r="L159" i="3"/>
  <c r="L185" i="3"/>
  <c r="L109" i="3"/>
  <c r="L204" i="3"/>
  <c r="L138" i="3"/>
  <c r="L41" i="3"/>
  <c r="L161" i="3"/>
  <c r="L57" i="3"/>
  <c r="L267" i="3"/>
  <c r="L64" i="3"/>
  <c r="L86" i="3"/>
  <c r="L12" i="3"/>
  <c r="L168" i="3"/>
  <c r="L236" i="3"/>
  <c r="L126" i="3"/>
  <c r="L134" i="3"/>
  <c r="L226" i="3"/>
  <c r="L105" i="3"/>
  <c r="L200" i="3"/>
  <c r="L152" i="3"/>
  <c r="L270" i="3"/>
  <c r="L172" i="3"/>
  <c r="L77" i="3"/>
  <c r="L166" i="3"/>
  <c r="L116" i="3"/>
  <c r="L68" i="3"/>
  <c r="L233" i="3"/>
  <c r="L276" i="3"/>
  <c r="L60" i="3"/>
  <c r="L40" i="3"/>
  <c r="L96" i="3"/>
  <c r="L19" i="3"/>
  <c r="L54" i="3"/>
  <c r="L106" i="3"/>
  <c r="L266" i="3"/>
  <c r="L24" i="3"/>
  <c r="L6" i="3"/>
  <c r="L173" i="3"/>
  <c r="L254" i="3"/>
  <c r="L149" i="3"/>
  <c r="L87" i="3"/>
  <c r="L216" i="3"/>
  <c r="L167" i="3"/>
  <c r="L128" i="3"/>
  <c r="L119" i="3"/>
  <c r="L170" i="3"/>
  <c r="L283" i="3"/>
  <c r="L5" i="3"/>
  <c r="L21" i="3"/>
  <c r="L188" i="3"/>
  <c r="L208" i="3"/>
  <c r="L38" i="3"/>
  <c r="L131" i="3"/>
  <c r="L182" i="3"/>
  <c r="L56" i="3"/>
  <c r="L241" i="3"/>
  <c r="L107" i="3"/>
  <c r="L222" i="3"/>
  <c r="L220" i="3"/>
  <c r="L262" i="3"/>
  <c r="L13" i="3"/>
  <c r="L10" i="3"/>
  <c r="L146" i="3"/>
  <c r="L250" i="3"/>
  <c r="L28" i="3"/>
  <c r="L108" i="3"/>
  <c r="L271" i="3"/>
  <c r="L211" i="3"/>
  <c r="L117" i="3"/>
  <c r="L205" i="3"/>
  <c r="L231" i="3"/>
  <c r="L230" i="3"/>
  <c r="L157" i="3"/>
  <c r="L11" i="3"/>
  <c r="L83" i="3"/>
  <c r="L82" i="3"/>
  <c r="L81" i="3"/>
  <c r="L33" i="3"/>
  <c r="L151" i="3"/>
  <c r="L25" i="3"/>
  <c r="L256" i="3"/>
  <c r="L279" i="3"/>
  <c r="L104" i="3"/>
  <c r="L246" i="3"/>
  <c r="L234" i="3"/>
  <c r="L269" i="3"/>
  <c r="L171" i="3"/>
  <c r="L69" i="3"/>
  <c r="L115" i="3"/>
  <c r="L186" i="3"/>
  <c r="L285" i="3"/>
  <c r="L14" i="3"/>
  <c r="L76" i="3"/>
  <c r="L150" i="3"/>
  <c r="L26" i="3"/>
  <c r="L194" i="3"/>
  <c r="L42" i="3"/>
  <c r="L184" i="3"/>
  <c r="L92" i="3"/>
  <c r="L70" i="3"/>
  <c r="L238" i="3"/>
  <c r="L263" i="3"/>
  <c r="L75" i="3"/>
  <c r="L9" i="3"/>
  <c r="L74" i="3"/>
  <c r="L67" i="3"/>
  <c r="L118" i="3"/>
  <c r="L252" i="3"/>
  <c r="L155" i="3"/>
  <c r="L137" i="3"/>
  <c r="L268" i="3"/>
  <c r="L255" i="3"/>
  <c r="L201" i="3"/>
  <c r="L248" i="3"/>
  <c r="L180" i="3"/>
  <c r="L154" i="3"/>
  <c r="L46" i="3"/>
  <c r="L39" i="3"/>
  <c r="L187" i="3"/>
  <c r="L192" i="3"/>
  <c r="L275" i="3"/>
  <c r="L101" i="3"/>
  <c r="L164" i="3"/>
  <c r="L136" i="3"/>
  <c r="L65" i="3"/>
  <c r="L84" i="3"/>
  <c r="L277" i="3"/>
  <c r="L144" i="3"/>
  <c r="L245" i="3"/>
  <c r="L278" i="3"/>
  <c r="L227" i="3"/>
  <c r="L253" i="3"/>
  <c r="L23" i="3"/>
  <c r="L132" i="3"/>
  <c r="AC24" i="3"/>
  <c r="AF8" i="3"/>
  <c r="AD24" i="3" s="1"/>
  <c r="L162" i="6"/>
  <c r="K162" i="10" s="1"/>
  <c r="J162" i="10"/>
  <c r="L159" i="6"/>
  <c r="K159" i="10" s="1"/>
  <c r="J159" i="10"/>
  <c r="I168" i="10"/>
  <c r="L161" i="6"/>
  <c r="K161" i="10" s="1"/>
  <c r="J161" i="10"/>
  <c r="L160" i="6"/>
  <c r="K160" i="10" s="1"/>
  <c r="J160" i="10"/>
  <c r="I169" i="10"/>
  <c r="L163" i="6"/>
  <c r="K163" i="10" s="1"/>
  <c r="J163" i="10"/>
  <c r="L158" i="6"/>
  <c r="K158" i="10" s="1"/>
  <c r="J158" i="10"/>
  <c r="L164" i="6"/>
  <c r="K164" i="10" s="1"/>
  <c r="J164" i="10"/>
  <c r="K48" i="6"/>
  <c r="J48" i="10" s="1"/>
  <c r="K3" i="6"/>
  <c r="J3" i="10" s="1"/>
  <c r="K36" i="6"/>
  <c r="J36" i="10" s="1"/>
  <c r="K149" i="6"/>
  <c r="J149" i="10" s="1"/>
  <c r="K26" i="6"/>
  <c r="J26" i="10" s="1"/>
  <c r="K79" i="6"/>
  <c r="J79" i="10" s="1"/>
  <c r="K93" i="6"/>
  <c r="J93" i="10" s="1"/>
  <c r="K32" i="6"/>
  <c r="J32" i="10" s="1"/>
  <c r="K122" i="6"/>
  <c r="J122" i="10" s="1"/>
  <c r="K97" i="6"/>
  <c r="J97" i="10" s="1"/>
  <c r="K29" i="6"/>
  <c r="J29" i="10" s="1"/>
  <c r="K77" i="6"/>
  <c r="J77" i="10" s="1"/>
  <c r="K47" i="6"/>
  <c r="J47" i="10" s="1"/>
  <c r="K21" i="6"/>
  <c r="J21" i="10" s="1"/>
  <c r="K137" i="6"/>
  <c r="J137" i="10" s="1"/>
  <c r="K130" i="6"/>
  <c r="J130" i="10" s="1"/>
  <c r="K132" i="6"/>
  <c r="J132" i="10" s="1"/>
  <c r="K70" i="6"/>
  <c r="J70" i="10" s="1"/>
  <c r="K42" i="6"/>
  <c r="J42" i="10" s="1"/>
  <c r="K82" i="6"/>
  <c r="J82" i="10" s="1"/>
  <c r="K148" i="6"/>
  <c r="J148" i="10" s="1"/>
  <c r="K119" i="6"/>
  <c r="J119" i="10" s="1"/>
  <c r="K54" i="6"/>
  <c r="J54" i="10" s="1"/>
  <c r="K5" i="6"/>
  <c r="J5" i="10" s="1"/>
  <c r="K109" i="6"/>
  <c r="J109" i="10" s="1"/>
  <c r="K67" i="6"/>
  <c r="J67" i="10" s="1"/>
  <c r="K34" i="6"/>
  <c r="J34" i="10" s="1"/>
  <c r="K156" i="6"/>
  <c r="J156" i="10" s="1"/>
  <c r="K136" i="6"/>
  <c r="J136" i="10" s="1"/>
  <c r="K147" i="6"/>
  <c r="J147" i="10" s="1"/>
  <c r="K61" i="6"/>
  <c r="J61" i="10" s="1"/>
  <c r="K129" i="6"/>
  <c r="J129" i="10" s="1"/>
  <c r="K44" i="6"/>
  <c r="J44" i="10" s="1"/>
  <c r="K114" i="6"/>
  <c r="J114" i="10" s="1"/>
  <c r="K107" i="6"/>
  <c r="J107" i="10" s="1"/>
  <c r="K37" i="6"/>
  <c r="J37" i="10" s="1"/>
  <c r="K10" i="6"/>
  <c r="J10" i="10" s="1"/>
  <c r="K111" i="6"/>
  <c r="J111" i="10" s="1"/>
  <c r="K38" i="6"/>
  <c r="J38" i="10" s="1"/>
  <c r="K8" i="6"/>
  <c r="J8" i="10" s="1"/>
  <c r="K133" i="6"/>
  <c r="J133" i="10" s="1"/>
  <c r="K20" i="6"/>
  <c r="J20" i="10" s="1"/>
  <c r="K96" i="6"/>
  <c r="J96" i="10" s="1"/>
  <c r="K157" i="6"/>
  <c r="J157" i="10" s="1"/>
  <c r="K84" i="6"/>
  <c r="J84" i="10" s="1"/>
  <c r="K73" i="6"/>
  <c r="J73" i="10" s="1"/>
  <c r="K49" i="6"/>
  <c r="J49" i="10" s="1"/>
  <c r="K138" i="6"/>
  <c r="J138" i="10" s="1"/>
  <c r="K100" i="6"/>
  <c r="J100" i="10" s="1"/>
  <c r="K66" i="6"/>
  <c r="J66" i="10" s="1"/>
  <c r="K69" i="6"/>
  <c r="J69" i="10" s="1"/>
  <c r="K68" i="6"/>
  <c r="J68" i="10" s="1"/>
  <c r="K86" i="6"/>
  <c r="J86" i="10" s="1"/>
  <c r="K123" i="6"/>
  <c r="J123" i="10" s="1"/>
  <c r="K53" i="6"/>
  <c r="J53" i="10" s="1"/>
  <c r="K154" i="6"/>
  <c r="J154" i="10" s="1"/>
  <c r="K50" i="6"/>
  <c r="J50" i="10" s="1"/>
  <c r="K23" i="6"/>
  <c r="J23" i="10" s="1"/>
  <c r="K51" i="6"/>
  <c r="J51" i="10" s="1"/>
  <c r="K25" i="6"/>
  <c r="J25" i="10" s="1"/>
  <c r="K15" i="6"/>
  <c r="J15" i="10" s="1"/>
  <c r="K19" i="6"/>
  <c r="J19" i="10" s="1"/>
  <c r="K127" i="6"/>
  <c r="J127" i="10" s="1"/>
  <c r="K104" i="6"/>
  <c r="J104" i="10" s="1"/>
  <c r="K12" i="6"/>
  <c r="J12" i="10" s="1"/>
  <c r="K81" i="6"/>
  <c r="J81" i="10" s="1"/>
  <c r="K155" i="6"/>
  <c r="J155" i="10" s="1"/>
  <c r="K152" i="6"/>
  <c r="J152" i="10" s="1"/>
  <c r="K14" i="6"/>
  <c r="J14" i="10" s="1"/>
  <c r="K63" i="6"/>
  <c r="J63" i="10" s="1"/>
  <c r="K146" i="6"/>
  <c r="J146" i="10" s="1"/>
  <c r="K45" i="6"/>
  <c r="J45" i="10" s="1"/>
  <c r="K72" i="6"/>
  <c r="J72" i="10" s="1"/>
  <c r="K125" i="6"/>
  <c r="J125" i="10" s="1"/>
  <c r="K76" i="6"/>
  <c r="J76" i="10" s="1"/>
  <c r="K112" i="6"/>
  <c r="J112" i="10" s="1"/>
  <c r="K135" i="6"/>
  <c r="J135" i="10" s="1"/>
  <c r="K22" i="6"/>
  <c r="J22" i="10" s="1"/>
  <c r="K9" i="6"/>
  <c r="J9" i="10" s="1"/>
  <c r="K16" i="6"/>
  <c r="J16" i="10" s="1"/>
  <c r="K124" i="6"/>
  <c r="J124" i="10" s="1"/>
  <c r="K105" i="6"/>
  <c r="J105" i="10" s="1"/>
  <c r="K43" i="6"/>
  <c r="J43" i="10" s="1"/>
  <c r="K103" i="6"/>
  <c r="J103" i="10" s="1"/>
  <c r="K151" i="6"/>
  <c r="J151" i="10" s="1"/>
  <c r="K117" i="6"/>
  <c r="J117" i="10" s="1"/>
  <c r="K58" i="6"/>
  <c r="J58" i="10" s="1"/>
  <c r="K74" i="6"/>
  <c r="J74" i="10" s="1"/>
  <c r="K141" i="6"/>
  <c r="J141" i="10" s="1"/>
  <c r="K71" i="6"/>
  <c r="J71" i="10" s="1"/>
  <c r="K17" i="6"/>
  <c r="J17" i="10" s="1"/>
  <c r="K46" i="6"/>
  <c r="J46" i="10" s="1"/>
  <c r="K113" i="6"/>
  <c r="J113" i="10" s="1"/>
  <c r="K35" i="6"/>
  <c r="J35" i="10" s="1"/>
  <c r="K120" i="6"/>
  <c r="J120" i="10" s="1"/>
  <c r="K143" i="6"/>
  <c r="J143" i="10" s="1"/>
  <c r="K24" i="6"/>
  <c r="J24" i="10" s="1"/>
  <c r="K7" i="6"/>
  <c r="J7" i="10" s="1"/>
  <c r="K92" i="6"/>
  <c r="J92" i="10" s="1"/>
  <c r="K140" i="6"/>
  <c r="J140" i="10" s="1"/>
  <c r="K64" i="6"/>
  <c r="J64" i="10" s="1"/>
  <c r="K128" i="6"/>
  <c r="J128" i="10" s="1"/>
  <c r="K60" i="6"/>
  <c r="J60" i="10" s="1"/>
  <c r="K94" i="6"/>
  <c r="J94" i="10" s="1"/>
  <c r="K139" i="6"/>
  <c r="J139" i="10" s="1"/>
  <c r="K115" i="6"/>
  <c r="J115" i="10" s="1"/>
  <c r="K95" i="6"/>
  <c r="J95" i="10" s="1"/>
  <c r="K28" i="6"/>
  <c r="J28" i="10" s="1"/>
  <c r="K62" i="6"/>
  <c r="J62" i="10" s="1"/>
  <c r="K4" i="6"/>
  <c r="J4" i="10" s="1"/>
  <c r="K126" i="6"/>
  <c r="J126" i="10" s="1"/>
  <c r="K101" i="6"/>
  <c r="J101" i="10" s="1"/>
  <c r="K30" i="6"/>
  <c r="J30" i="10" s="1"/>
  <c r="K98" i="6"/>
  <c r="J98" i="10" s="1"/>
  <c r="K89" i="6"/>
  <c r="J89" i="10" s="1"/>
  <c r="K78" i="6"/>
  <c r="J78" i="10" s="1"/>
  <c r="K102" i="6"/>
  <c r="J102" i="10" s="1"/>
  <c r="K13" i="6"/>
  <c r="J13" i="10" s="1"/>
  <c r="K18" i="6"/>
  <c r="J18" i="10" s="1"/>
  <c r="K33" i="6"/>
  <c r="J33" i="10" s="1"/>
  <c r="K88" i="6"/>
  <c r="J88" i="10" s="1"/>
  <c r="K91" i="6"/>
  <c r="J91" i="10" s="1"/>
  <c r="K118" i="6"/>
  <c r="J118" i="10" s="1"/>
  <c r="K85" i="6"/>
  <c r="J85" i="10" s="1"/>
  <c r="K90" i="6"/>
  <c r="J90" i="10" s="1"/>
  <c r="K116" i="6"/>
  <c r="J116" i="10" s="1"/>
  <c r="K52" i="6"/>
  <c r="J52" i="10" s="1"/>
  <c r="K27" i="6"/>
  <c r="J27" i="10" s="1"/>
  <c r="K57" i="6"/>
  <c r="J57" i="10" s="1"/>
  <c r="K99" i="6"/>
  <c r="J99" i="10" s="1"/>
  <c r="K144" i="6"/>
  <c r="J144" i="10" s="1"/>
  <c r="K55" i="6"/>
  <c r="J55" i="10" s="1"/>
  <c r="K80" i="6"/>
  <c r="J80" i="10" s="1"/>
  <c r="K31" i="6"/>
  <c r="J31" i="10" s="1"/>
  <c r="K59" i="6"/>
  <c r="J59" i="10" s="1"/>
  <c r="K150" i="6"/>
  <c r="J150" i="10" s="1"/>
  <c r="K106" i="6"/>
  <c r="J106" i="10" s="1"/>
  <c r="K110" i="6"/>
  <c r="J110" i="10" s="1"/>
  <c r="K134" i="6"/>
  <c r="J134" i="10" s="1"/>
  <c r="K153" i="6"/>
  <c r="J153" i="10" s="1"/>
  <c r="K40" i="6"/>
  <c r="J40" i="10" s="1"/>
  <c r="K56" i="6"/>
  <c r="J56" i="10" s="1"/>
  <c r="K65" i="6"/>
  <c r="J65" i="10" s="1"/>
  <c r="K75" i="6"/>
  <c r="J75" i="10" s="1"/>
  <c r="K145" i="6"/>
  <c r="J145" i="10" s="1"/>
  <c r="K41" i="6"/>
  <c r="J41" i="10" s="1"/>
  <c r="K121" i="6"/>
  <c r="J121" i="10" s="1"/>
  <c r="K39" i="6"/>
  <c r="J39" i="10" s="1"/>
  <c r="K142" i="6"/>
  <c r="J142" i="10" s="1"/>
  <c r="K108" i="6"/>
  <c r="J108" i="10" s="1"/>
  <c r="K87" i="6"/>
  <c r="J87" i="10" s="1"/>
  <c r="K11" i="6"/>
  <c r="J11" i="10" s="1"/>
  <c r="K131" i="6"/>
  <c r="J131" i="10" s="1"/>
  <c r="K6" i="6"/>
  <c r="J6" i="10" s="1"/>
  <c r="K83" i="6"/>
  <c r="J83" i="10" s="1"/>
  <c r="K302" i="3" l="1"/>
  <c r="L300" i="3"/>
  <c r="L301" i="3"/>
  <c r="N292" i="3"/>
  <c r="N296" i="3"/>
  <c r="N290" i="3"/>
  <c r="N291" i="3"/>
  <c r="N297" i="3"/>
  <c r="N294" i="3"/>
  <c r="N293" i="3"/>
  <c r="N295" i="3"/>
  <c r="N286" i="3"/>
  <c r="N287" i="3"/>
  <c r="N289" i="3"/>
  <c r="N3" i="3"/>
  <c r="N288" i="3"/>
  <c r="N139" i="3"/>
  <c r="N91" i="3"/>
  <c r="N43" i="3"/>
  <c r="N163" i="3"/>
  <c r="N203" i="3"/>
  <c r="N129" i="3"/>
  <c r="N175" i="3"/>
  <c r="N265" i="3"/>
  <c r="N49" i="3"/>
  <c r="N218" i="3"/>
  <c r="N244" i="3"/>
  <c r="N221" i="3"/>
  <c r="N195" i="3"/>
  <c r="N99" i="3"/>
  <c r="N177" i="3"/>
  <c r="N217" i="3"/>
  <c r="N143" i="3"/>
  <c r="N95" i="3"/>
  <c r="N211" i="3"/>
  <c r="N227" i="3"/>
  <c r="N102" i="3"/>
  <c r="N54" i="3"/>
  <c r="N6" i="3"/>
  <c r="N29" i="3"/>
  <c r="N106" i="3"/>
  <c r="N33" i="3"/>
  <c r="N223" i="3"/>
  <c r="N47" i="3"/>
  <c r="N222" i="3"/>
  <c r="N210" i="3"/>
  <c r="N66" i="3"/>
  <c r="N142" i="3"/>
  <c r="N159" i="3"/>
  <c r="N84" i="3"/>
  <c r="N272" i="3"/>
  <c r="N128" i="3"/>
  <c r="N31" i="3"/>
  <c r="N198" i="3"/>
  <c r="N168" i="3"/>
  <c r="N191" i="3"/>
  <c r="N148" i="3"/>
  <c r="N140" i="3"/>
  <c r="N232" i="3"/>
  <c r="N279" i="3"/>
  <c r="N63" i="3"/>
  <c r="N113" i="3"/>
  <c r="N231" i="3"/>
  <c r="N161" i="3"/>
  <c r="N41" i="3"/>
  <c r="N132" i="3"/>
  <c r="N127" i="3"/>
  <c r="N122" i="3"/>
  <c r="N97" i="3"/>
  <c r="N120" i="3"/>
  <c r="N179" i="3"/>
  <c r="N50" i="3"/>
  <c r="N147" i="3"/>
  <c r="N94" i="3"/>
  <c r="N237" i="3"/>
  <c r="N281" i="3"/>
  <c r="N216" i="3"/>
  <c r="N239" i="3"/>
  <c r="N270" i="3"/>
  <c r="N114" i="3"/>
  <c r="N284" i="3"/>
  <c r="N14" i="3"/>
  <c r="N183" i="3"/>
  <c r="N37" i="3"/>
  <c r="N209" i="3"/>
  <c r="N40" i="3"/>
  <c r="N225" i="3"/>
  <c r="N250" i="3"/>
  <c r="N162" i="3"/>
  <c r="N196" i="3"/>
  <c r="N190" i="3"/>
  <c r="N266" i="3"/>
  <c r="N241" i="3"/>
  <c r="N115" i="3"/>
  <c r="N67" i="3"/>
  <c r="N19" i="3"/>
  <c r="N219" i="3"/>
  <c r="N83" i="3"/>
  <c r="N7" i="3"/>
  <c r="N155" i="3"/>
  <c r="N152" i="3"/>
  <c r="N130" i="3"/>
  <c r="N263" i="3"/>
  <c r="N282" i="3"/>
  <c r="N76" i="3"/>
  <c r="N4" i="3"/>
  <c r="N125" i="3"/>
  <c r="N238" i="3"/>
  <c r="N166" i="3"/>
  <c r="N111" i="3"/>
  <c r="N110" i="3"/>
  <c r="N88" i="3"/>
  <c r="N255" i="3"/>
  <c r="N228" i="3"/>
  <c r="N112" i="3"/>
  <c r="N246" i="3"/>
  <c r="N261" i="3"/>
  <c r="N34" i="3"/>
  <c r="N224" i="3"/>
  <c r="N80" i="3"/>
  <c r="N192" i="3"/>
  <c r="N275" i="3"/>
  <c r="N178" i="3"/>
  <c r="N98" i="3"/>
  <c r="N268" i="3"/>
  <c r="N78" i="3"/>
  <c r="N165" i="3"/>
  <c r="N154" i="3"/>
  <c r="N9" i="3"/>
  <c r="N213" i="3"/>
  <c r="N181" i="3"/>
  <c r="N133" i="3"/>
  <c r="N85" i="3"/>
  <c r="N35" i="3"/>
  <c r="N247" i="3"/>
  <c r="N131" i="3"/>
  <c r="N249" i="3"/>
  <c r="N57" i="3"/>
  <c r="N242" i="3"/>
  <c r="N170" i="3"/>
  <c r="N58" i="3"/>
  <c r="N149" i="3"/>
  <c r="N16" i="3"/>
  <c r="N254" i="3"/>
  <c r="N65" i="3"/>
  <c r="N229" i="3"/>
  <c r="N276" i="3"/>
  <c r="N251" i="3"/>
  <c r="N48" i="3"/>
  <c r="N187" i="3"/>
  <c r="N235" i="3"/>
  <c r="N52" i="3"/>
  <c r="N20" i="3"/>
  <c r="N86" i="3"/>
  <c r="N5" i="3"/>
  <c r="N173" i="3"/>
  <c r="N134" i="3"/>
  <c r="N38" i="3"/>
  <c r="N15" i="3"/>
  <c r="N108" i="3"/>
  <c r="N182" i="3"/>
  <c r="N11" i="3"/>
  <c r="N55" i="3"/>
  <c r="N193" i="3"/>
  <c r="N240" i="3"/>
  <c r="N119" i="3"/>
  <c r="N90" i="3"/>
  <c r="N214" i="3"/>
  <c r="N93" i="3"/>
  <c r="N68" i="3"/>
  <c r="N257" i="3"/>
  <c r="N135" i="3"/>
  <c r="N206" i="3"/>
  <c r="N60" i="3"/>
  <c r="N17" i="3"/>
  <c r="N13" i="3"/>
  <c r="N21" i="3"/>
  <c r="N8" i="3"/>
  <c r="N53" i="3"/>
  <c r="N141" i="3"/>
  <c r="N260" i="3"/>
  <c r="N137" i="3"/>
  <c r="N87" i="3"/>
  <c r="N12" i="3"/>
  <c r="N172" i="3"/>
  <c r="N208" i="3"/>
  <c r="N226" i="3"/>
  <c r="N10" i="3"/>
  <c r="N18" i="3"/>
  <c r="N126" i="3"/>
  <c r="N77" i="3"/>
  <c r="N243" i="3"/>
  <c r="N171" i="3"/>
  <c r="N189" i="3"/>
  <c r="N188" i="3"/>
  <c r="N283" i="3"/>
  <c r="N151" i="3"/>
  <c r="N258" i="3"/>
  <c r="N100" i="3"/>
  <c r="N105" i="3"/>
  <c r="N200" i="3"/>
  <c r="N24" i="3"/>
  <c r="N174" i="3"/>
  <c r="N124" i="3"/>
  <c r="N51" i="3"/>
  <c r="N116" i="3"/>
  <c r="N233" i="3"/>
  <c r="N64" i="3"/>
  <c r="N25" i="3"/>
  <c r="N96" i="3"/>
  <c r="N22" i="3"/>
  <c r="N69" i="3"/>
  <c r="N103" i="3"/>
  <c r="N245" i="3"/>
  <c r="N123" i="3"/>
  <c r="N262" i="3"/>
  <c r="N205" i="3"/>
  <c r="N204" i="3"/>
  <c r="N202" i="3"/>
  <c r="N248" i="3"/>
  <c r="N146" i="3"/>
  <c r="N236" i="3"/>
  <c r="N230" i="3"/>
  <c r="N280" i="3"/>
  <c r="N252" i="3"/>
  <c r="N164" i="3"/>
  <c r="N44" i="3"/>
  <c r="N199" i="3"/>
  <c r="N72" i="3"/>
  <c r="N194" i="3"/>
  <c r="N89" i="3"/>
  <c r="N153" i="3"/>
  <c r="N56" i="3"/>
  <c r="N145" i="3"/>
  <c r="N150" i="3"/>
  <c r="N138" i="3"/>
  <c r="N28" i="3"/>
  <c r="N176" i="3"/>
  <c r="N104" i="3"/>
  <c r="N271" i="3"/>
  <c r="N169" i="3"/>
  <c r="N144" i="3"/>
  <c r="N167" i="3"/>
  <c r="N101" i="3"/>
  <c r="N220" i="3"/>
  <c r="N27" i="3"/>
  <c r="N256" i="3"/>
  <c r="N185" i="3"/>
  <c r="N278" i="3"/>
  <c r="N157" i="3"/>
  <c r="N109" i="3"/>
  <c r="N61" i="3"/>
  <c r="N156" i="3"/>
  <c r="N36" i="3"/>
  <c r="N82" i="3"/>
  <c r="N264" i="3"/>
  <c r="N73" i="3"/>
  <c r="N74" i="3"/>
  <c r="N75" i="3"/>
  <c r="N92" i="3"/>
  <c r="N121" i="3"/>
  <c r="N118" i="3"/>
  <c r="N269" i="3"/>
  <c r="N107" i="3"/>
  <c r="N30" i="3"/>
  <c r="N234" i="3"/>
  <c r="N70" i="3"/>
  <c r="N180" i="3"/>
  <c r="N285" i="3"/>
  <c r="N26" i="3"/>
  <c r="N267" i="3"/>
  <c r="N184" i="3"/>
  <c r="N273" i="3"/>
  <c r="N277" i="3"/>
  <c r="N215" i="3"/>
  <c r="N42" i="3"/>
  <c r="N158" i="3"/>
  <c r="N46" i="3"/>
  <c r="N39" i="3"/>
  <c r="N197" i="3"/>
  <c r="N207" i="3"/>
  <c r="N62" i="3"/>
  <c r="N59" i="3"/>
  <c r="N45" i="3"/>
  <c r="N160" i="3"/>
  <c r="N81" i="3"/>
  <c r="N117" i="3"/>
  <c r="N32" i="3"/>
  <c r="N201" i="3"/>
  <c r="N79" i="3"/>
  <c r="N71" i="3"/>
  <c r="N23" i="3"/>
  <c r="N136" i="3"/>
  <c r="N274" i="3"/>
  <c r="N186" i="3"/>
  <c r="N212" i="3"/>
  <c r="N253" i="3"/>
  <c r="N259" i="3"/>
  <c r="M296" i="3"/>
  <c r="M297" i="3"/>
  <c r="M294" i="3"/>
  <c r="M290" i="3"/>
  <c r="M287" i="3"/>
  <c r="M291" i="3"/>
  <c r="M293" i="3"/>
  <c r="M286" i="3"/>
  <c r="M295" i="3"/>
  <c r="M288" i="3"/>
  <c r="M289" i="3"/>
  <c r="M3" i="3"/>
  <c r="M292" i="3"/>
  <c r="M203" i="3"/>
  <c r="M177" i="3"/>
  <c r="M175" i="3"/>
  <c r="M217" i="3"/>
  <c r="M179" i="3"/>
  <c r="M239" i="3"/>
  <c r="M211" i="3"/>
  <c r="M101" i="3"/>
  <c r="M5" i="3"/>
  <c r="M125" i="3"/>
  <c r="M29" i="3"/>
  <c r="M81" i="3"/>
  <c r="M216" i="3"/>
  <c r="M242" i="3"/>
  <c r="M93" i="3"/>
  <c r="M176" i="3"/>
  <c r="M79" i="3"/>
  <c r="M243" i="3"/>
  <c r="M128" i="3"/>
  <c r="M271" i="3"/>
  <c r="M74" i="3"/>
  <c r="M244" i="3"/>
  <c r="M148" i="3"/>
  <c r="M140" i="3"/>
  <c r="M232" i="3"/>
  <c r="M279" i="3"/>
  <c r="M113" i="3"/>
  <c r="M231" i="3"/>
  <c r="M254" i="3"/>
  <c r="M229" i="3"/>
  <c r="M133" i="3"/>
  <c r="M132" i="3"/>
  <c r="M34" i="3"/>
  <c r="M80" i="3"/>
  <c r="M264" i="3"/>
  <c r="M120" i="3"/>
  <c r="M178" i="3"/>
  <c r="M145" i="3"/>
  <c r="M114" i="3"/>
  <c r="M100" i="3"/>
  <c r="M102" i="3"/>
  <c r="M51" i="3"/>
  <c r="M238" i="3"/>
  <c r="M190" i="3"/>
  <c r="M284" i="3"/>
  <c r="M188" i="3"/>
  <c r="M257" i="3"/>
  <c r="M15" i="3"/>
  <c r="M36" i="3"/>
  <c r="M106" i="3"/>
  <c r="M33" i="3"/>
  <c r="M272" i="3"/>
  <c r="M31" i="3"/>
  <c r="M265" i="3"/>
  <c r="M139" i="3"/>
  <c r="M91" i="3"/>
  <c r="M222" i="3"/>
  <c r="M197" i="3"/>
  <c r="M99" i="3"/>
  <c r="M14" i="3"/>
  <c r="M37" i="3"/>
  <c r="M84" i="3"/>
  <c r="M202" i="3"/>
  <c r="M273" i="3"/>
  <c r="M169" i="3"/>
  <c r="M250" i="3"/>
  <c r="M18" i="3"/>
  <c r="M54" i="3"/>
  <c r="M63" i="3"/>
  <c r="M228" i="3"/>
  <c r="M32" i="3"/>
  <c r="M122" i="3"/>
  <c r="M24" i="3"/>
  <c r="M143" i="3"/>
  <c r="M210" i="3"/>
  <c r="M41" i="3"/>
  <c r="M201" i="3"/>
  <c r="M187" i="3"/>
  <c r="M149" i="3"/>
  <c r="M53" i="3"/>
  <c r="M173" i="3"/>
  <c r="M77" i="3"/>
  <c r="M213" i="3"/>
  <c r="M207" i="3"/>
  <c r="M153" i="3"/>
  <c r="M266" i="3"/>
  <c r="M192" i="3"/>
  <c r="M115" i="3"/>
  <c r="M268" i="3"/>
  <c r="M110" i="3"/>
  <c r="M85" i="3"/>
  <c r="M35" i="3"/>
  <c r="M212" i="3"/>
  <c r="M20" i="3"/>
  <c r="M65" i="3"/>
  <c r="M276" i="3"/>
  <c r="M69" i="3"/>
  <c r="M138" i="3"/>
  <c r="M126" i="3"/>
  <c r="M281" i="3"/>
  <c r="M154" i="3"/>
  <c r="M55" i="3"/>
  <c r="M7" i="3"/>
  <c r="M121" i="3"/>
  <c r="M49" i="3"/>
  <c r="M221" i="3"/>
  <c r="M147" i="3"/>
  <c r="M118" i="3"/>
  <c r="M158" i="3"/>
  <c r="M152" i="3"/>
  <c r="M127" i="3"/>
  <c r="M191" i="3"/>
  <c r="M131" i="3"/>
  <c r="M75" i="3"/>
  <c r="M45" i="3"/>
  <c r="M112" i="3"/>
  <c r="M64" i="3"/>
  <c r="M16" i="3"/>
  <c r="M12" i="3"/>
  <c r="M249" i="3"/>
  <c r="M57" i="3"/>
  <c r="M224" i="3"/>
  <c r="M58" i="3"/>
  <c r="M162" i="3"/>
  <c r="M196" i="3"/>
  <c r="M46" i="3"/>
  <c r="M8" i="3"/>
  <c r="M251" i="3"/>
  <c r="M130" i="3"/>
  <c r="M240" i="3"/>
  <c r="M98" i="3"/>
  <c r="M282" i="3"/>
  <c r="M52" i="3"/>
  <c r="M30" i="3"/>
  <c r="M94" i="3"/>
  <c r="M260" i="3"/>
  <c r="M137" i="3"/>
  <c r="M193" i="3"/>
  <c r="M71" i="3"/>
  <c r="M19" i="3"/>
  <c r="M90" i="3"/>
  <c r="M267" i="3"/>
  <c r="M195" i="3"/>
  <c r="M214" i="3"/>
  <c r="M166" i="3"/>
  <c r="M68" i="3"/>
  <c r="M206" i="3"/>
  <c r="M38" i="3"/>
  <c r="M180" i="3"/>
  <c r="M60" i="3"/>
  <c r="M186" i="3"/>
  <c r="M21" i="3"/>
  <c r="M246" i="3"/>
  <c r="M97" i="3"/>
  <c r="M96" i="3"/>
  <c r="M170" i="3"/>
  <c r="M50" i="3"/>
  <c r="M124" i="3"/>
  <c r="M141" i="3"/>
  <c r="M183" i="3"/>
  <c r="M87" i="3"/>
  <c r="M146" i="3"/>
  <c r="M208" i="3"/>
  <c r="M11" i="3"/>
  <c r="M168" i="3"/>
  <c r="M48" i="3"/>
  <c r="M159" i="3"/>
  <c r="M185" i="3"/>
  <c r="M61" i="3"/>
  <c r="M13" i="3"/>
  <c r="M167" i="3"/>
  <c r="M47" i="3"/>
  <c r="M245" i="3"/>
  <c r="M56" i="3"/>
  <c r="M151" i="3"/>
  <c r="M235" i="3"/>
  <c r="M66" i="3"/>
  <c r="M86" i="3"/>
  <c r="M105" i="3"/>
  <c r="M200" i="3"/>
  <c r="M103" i="3"/>
  <c r="M174" i="3"/>
  <c r="M270" i="3"/>
  <c r="M78" i="3"/>
  <c r="M261" i="3"/>
  <c r="M116" i="3"/>
  <c r="M182" i="3"/>
  <c r="M233" i="3"/>
  <c r="M204" i="3"/>
  <c r="M108" i="3"/>
  <c r="M189" i="3"/>
  <c r="M226" i="3"/>
  <c r="M83" i="3"/>
  <c r="M223" i="3"/>
  <c r="M258" i="3"/>
  <c r="M6" i="3"/>
  <c r="M123" i="3"/>
  <c r="M142" i="3"/>
  <c r="M17" i="3"/>
  <c r="M134" i="3"/>
  <c r="M40" i="3"/>
  <c r="M225" i="3"/>
  <c r="M119" i="3"/>
  <c r="M283" i="3"/>
  <c r="M10" i="3"/>
  <c r="M25" i="3"/>
  <c r="M205" i="3"/>
  <c r="M109" i="3"/>
  <c r="M248" i="3"/>
  <c r="M107" i="3"/>
  <c r="M67" i="3"/>
  <c r="M236" i="3"/>
  <c r="M161" i="3"/>
  <c r="M241" i="3"/>
  <c r="M28" i="3"/>
  <c r="M237" i="3"/>
  <c r="M44" i="3"/>
  <c r="M209" i="3"/>
  <c r="M278" i="3"/>
  <c r="M280" i="3"/>
  <c r="M104" i="3"/>
  <c r="M144" i="3"/>
  <c r="M215" i="3"/>
  <c r="M163" i="3"/>
  <c r="M234" i="3"/>
  <c r="M220" i="3"/>
  <c r="M172" i="3"/>
  <c r="M39" i="3"/>
  <c r="M160" i="3"/>
  <c r="M194" i="3"/>
  <c r="M262" i="3"/>
  <c r="M22" i="3"/>
  <c r="M82" i="3"/>
  <c r="M73" i="3"/>
  <c r="M218" i="3"/>
  <c r="M263" i="3"/>
  <c r="M42" i="3"/>
  <c r="M70" i="3"/>
  <c r="M165" i="3"/>
  <c r="M92" i="3"/>
  <c r="M136" i="3"/>
  <c r="M111" i="3"/>
  <c r="M277" i="3"/>
  <c r="M253" i="3"/>
  <c r="M59" i="3"/>
  <c r="M117" i="3"/>
  <c r="M129" i="3"/>
  <c r="M88" i="3"/>
  <c r="M150" i="3"/>
  <c r="M269" i="3"/>
  <c r="M274" i="3"/>
  <c r="M27" i="3"/>
  <c r="M227" i="3"/>
  <c r="M157" i="3"/>
  <c r="M199" i="3"/>
  <c r="M164" i="3"/>
  <c r="M256" i="3"/>
  <c r="M198" i="3"/>
  <c r="M171" i="3"/>
  <c r="M230" i="3"/>
  <c r="M95" i="3"/>
  <c r="M181" i="3"/>
  <c r="M43" i="3"/>
  <c r="M76" i="3"/>
  <c r="M9" i="3"/>
  <c r="M135" i="3"/>
  <c r="M62" i="3"/>
  <c r="M252" i="3"/>
  <c r="M247" i="3"/>
  <c r="M155" i="3"/>
  <c r="M156" i="3"/>
  <c r="M72" i="3"/>
  <c r="M26" i="3"/>
  <c r="M219" i="3"/>
  <c r="M89" i="3"/>
  <c r="M184" i="3"/>
  <c r="M275" i="3"/>
  <c r="M255" i="3"/>
  <c r="M285" i="3"/>
  <c r="M259" i="3"/>
  <c r="M23" i="3"/>
  <c r="M4" i="3"/>
  <c r="K169" i="10"/>
  <c r="J169" i="10"/>
  <c r="S169" i="10" s="1"/>
  <c r="J168" i="10"/>
  <c r="I170" i="10"/>
  <c r="L144" i="6"/>
  <c r="K144" i="10" s="1"/>
  <c r="L99" i="6"/>
  <c r="K99" i="10" s="1"/>
  <c r="L51" i="6"/>
  <c r="K51" i="10" s="1"/>
  <c r="L29" i="6"/>
  <c r="K29" i="10" s="1"/>
  <c r="L14" i="6"/>
  <c r="K14" i="10" s="1"/>
  <c r="L155" i="6"/>
  <c r="K155" i="10" s="1"/>
  <c r="L61" i="6"/>
  <c r="K61" i="10" s="1"/>
  <c r="L42" i="6"/>
  <c r="K42" i="10" s="1"/>
  <c r="L32" i="6"/>
  <c r="K32" i="10" s="1"/>
  <c r="L95" i="6"/>
  <c r="K95" i="10" s="1"/>
  <c r="L105" i="6"/>
  <c r="K105" i="10" s="1"/>
  <c r="L148" i="6"/>
  <c r="K148" i="10" s="1"/>
  <c r="L77" i="6"/>
  <c r="K77" i="10" s="1"/>
  <c r="L23" i="6"/>
  <c r="K23" i="10" s="1"/>
  <c r="L139" i="6"/>
  <c r="K139" i="10" s="1"/>
  <c r="L152" i="6"/>
  <c r="K152" i="10" s="1"/>
  <c r="L128" i="6"/>
  <c r="K128" i="10" s="1"/>
  <c r="L123" i="6"/>
  <c r="K123" i="10" s="1"/>
  <c r="L20" i="6"/>
  <c r="K20" i="10" s="1"/>
  <c r="L147" i="6"/>
  <c r="K147" i="10" s="1"/>
  <c r="L70" i="6"/>
  <c r="K70" i="10" s="1"/>
  <c r="L93" i="6"/>
  <c r="K93" i="10" s="1"/>
  <c r="L89" i="6"/>
  <c r="K89" i="10" s="1"/>
  <c r="L146" i="6"/>
  <c r="K146" i="10" s="1"/>
  <c r="L35" i="6"/>
  <c r="K35" i="10" s="1"/>
  <c r="L113" i="6"/>
  <c r="K113" i="10" s="1"/>
  <c r="L129" i="6"/>
  <c r="K129" i="10" s="1"/>
  <c r="L131" i="6"/>
  <c r="K131" i="10" s="1"/>
  <c r="L11" i="6"/>
  <c r="K11" i="10" s="1"/>
  <c r="L64" i="6"/>
  <c r="K64" i="10" s="1"/>
  <c r="L112" i="6"/>
  <c r="K112" i="10" s="1"/>
  <c r="L26" i="6"/>
  <c r="K26" i="10" s="1"/>
  <c r="L18" i="6"/>
  <c r="K18" i="10" s="1"/>
  <c r="L119" i="6"/>
  <c r="K119" i="10" s="1"/>
  <c r="L50" i="6"/>
  <c r="K50" i="10" s="1"/>
  <c r="L94" i="6"/>
  <c r="K94" i="10" s="1"/>
  <c r="L9" i="6"/>
  <c r="K9" i="10" s="1"/>
  <c r="L81" i="6"/>
  <c r="K81" i="10" s="1"/>
  <c r="L12" i="6"/>
  <c r="K12" i="10" s="1"/>
  <c r="L54" i="6"/>
  <c r="K54" i="10" s="1"/>
  <c r="L115" i="6"/>
  <c r="K115" i="10" s="1"/>
  <c r="L124" i="6"/>
  <c r="K124" i="10" s="1"/>
  <c r="L16" i="6"/>
  <c r="K16" i="10" s="1"/>
  <c r="L59" i="6"/>
  <c r="K59" i="10" s="1"/>
  <c r="L127" i="6"/>
  <c r="K127" i="10" s="1"/>
  <c r="L69" i="6"/>
  <c r="K69" i="10" s="1"/>
  <c r="L38" i="6"/>
  <c r="K38" i="10" s="1"/>
  <c r="L34" i="6"/>
  <c r="K34" i="10" s="1"/>
  <c r="L137" i="6"/>
  <c r="K137" i="10" s="1"/>
  <c r="L149" i="6"/>
  <c r="K149" i="10" s="1"/>
  <c r="L98" i="6"/>
  <c r="K98" i="10" s="1"/>
  <c r="L79" i="6"/>
  <c r="K79" i="10" s="1"/>
  <c r="L74" i="6"/>
  <c r="K74" i="10" s="1"/>
  <c r="L96" i="6"/>
  <c r="K96" i="10" s="1"/>
  <c r="L19" i="6"/>
  <c r="K19" i="10" s="1"/>
  <c r="L21" i="6"/>
  <c r="K21" i="10" s="1"/>
  <c r="L36" i="6"/>
  <c r="K36" i="10" s="1"/>
  <c r="L120" i="6"/>
  <c r="K120" i="10" s="1"/>
  <c r="L13" i="6"/>
  <c r="K13" i="10" s="1"/>
  <c r="L73" i="6"/>
  <c r="K73" i="10" s="1"/>
  <c r="L102" i="6"/>
  <c r="K102" i="10" s="1"/>
  <c r="L84" i="6"/>
  <c r="K84" i="10" s="1"/>
  <c r="L157" i="6"/>
  <c r="K157" i="10" s="1"/>
  <c r="L60" i="6"/>
  <c r="K60" i="10" s="1"/>
  <c r="L108" i="6"/>
  <c r="K108" i="10" s="1"/>
  <c r="L116" i="6"/>
  <c r="K116" i="10" s="1"/>
  <c r="L30" i="6"/>
  <c r="K30" i="10" s="1"/>
  <c r="L135" i="6"/>
  <c r="K135" i="10" s="1"/>
  <c r="L86" i="6"/>
  <c r="K86" i="10" s="1"/>
  <c r="L150" i="6"/>
  <c r="K150" i="10" s="1"/>
  <c r="L104" i="6"/>
  <c r="K104" i="10" s="1"/>
  <c r="L118" i="6"/>
  <c r="K118" i="10" s="1"/>
  <c r="L82" i="6"/>
  <c r="K82" i="10" s="1"/>
  <c r="L52" i="6"/>
  <c r="K52" i="10" s="1"/>
  <c r="L110" i="6"/>
  <c r="K110" i="10" s="1"/>
  <c r="L142" i="6"/>
  <c r="K142" i="10" s="1"/>
  <c r="L141" i="6"/>
  <c r="K141" i="10" s="1"/>
  <c r="L133" i="6"/>
  <c r="K133" i="10" s="1"/>
  <c r="L101" i="6"/>
  <c r="K101" i="10" s="1"/>
  <c r="L68" i="6"/>
  <c r="K68" i="10" s="1"/>
  <c r="L58" i="6"/>
  <c r="K58" i="10" s="1"/>
  <c r="L7" i="6"/>
  <c r="K7" i="10" s="1"/>
  <c r="L66" i="6"/>
  <c r="K66" i="10" s="1"/>
  <c r="L145" i="6"/>
  <c r="K145" i="10" s="1"/>
  <c r="L80" i="6"/>
  <c r="K80" i="10" s="1"/>
  <c r="L88" i="6"/>
  <c r="K88" i="10" s="1"/>
  <c r="L62" i="6"/>
  <c r="K62" i="10" s="1"/>
  <c r="L24" i="6"/>
  <c r="K24" i="10" s="1"/>
  <c r="L151" i="6"/>
  <c r="K151" i="10" s="1"/>
  <c r="L72" i="6"/>
  <c r="K72" i="10" s="1"/>
  <c r="L15" i="6"/>
  <c r="K15" i="10" s="1"/>
  <c r="L100" i="6"/>
  <c r="K100" i="10" s="1"/>
  <c r="L10" i="6"/>
  <c r="K10" i="10" s="1"/>
  <c r="L109" i="6"/>
  <c r="K109" i="10" s="1"/>
  <c r="L3" i="6"/>
  <c r="K3" i="10" s="1"/>
  <c r="L83" i="6"/>
  <c r="K83" i="10" s="1"/>
  <c r="L107" i="6"/>
  <c r="K107" i="10" s="1"/>
  <c r="L6" i="6"/>
  <c r="K6" i="10" s="1"/>
  <c r="L114" i="6"/>
  <c r="K114" i="10" s="1"/>
  <c r="L57" i="6"/>
  <c r="K57" i="10" s="1"/>
  <c r="L44" i="6"/>
  <c r="K44" i="10" s="1"/>
  <c r="L122" i="6"/>
  <c r="K122" i="10" s="1"/>
  <c r="L87" i="6"/>
  <c r="K87" i="10" s="1"/>
  <c r="L53" i="6"/>
  <c r="K53" i="10" s="1"/>
  <c r="L22" i="6"/>
  <c r="K22" i="10" s="1"/>
  <c r="L106" i="6"/>
  <c r="K106" i="10" s="1"/>
  <c r="L132" i="6"/>
  <c r="K132" i="10" s="1"/>
  <c r="L85" i="6"/>
  <c r="K85" i="10" s="1"/>
  <c r="L156" i="6"/>
  <c r="K156" i="10" s="1"/>
  <c r="L92" i="6"/>
  <c r="K92" i="10" s="1"/>
  <c r="L41" i="6"/>
  <c r="K41" i="10" s="1"/>
  <c r="L4" i="6"/>
  <c r="K4" i="10" s="1"/>
  <c r="L117" i="6"/>
  <c r="K117" i="10" s="1"/>
  <c r="L125" i="6"/>
  <c r="K125" i="10" s="1"/>
  <c r="L43" i="6"/>
  <c r="K43" i="10" s="1"/>
  <c r="L153" i="6"/>
  <c r="K153" i="10" s="1"/>
  <c r="L78" i="6"/>
  <c r="K78" i="10" s="1"/>
  <c r="L46" i="6"/>
  <c r="K46" i="10" s="1"/>
  <c r="L140" i="6"/>
  <c r="K140" i="10" s="1"/>
  <c r="L8" i="6"/>
  <c r="K8" i="10" s="1"/>
  <c r="L76" i="6"/>
  <c r="K76" i="10" s="1"/>
  <c r="L31" i="6"/>
  <c r="K31" i="10" s="1"/>
  <c r="L67" i="6"/>
  <c r="K67" i="10" s="1"/>
  <c r="L75" i="6"/>
  <c r="K75" i="10" s="1"/>
  <c r="L55" i="6"/>
  <c r="K55" i="10" s="1"/>
  <c r="L33" i="6"/>
  <c r="K33" i="10" s="1"/>
  <c r="L28" i="6"/>
  <c r="K28" i="10" s="1"/>
  <c r="L143" i="6"/>
  <c r="K143" i="10" s="1"/>
  <c r="L103" i="6"/>
  <c r="K103" i="10" s="1"/>
  <c r="L45" i="6"/>
  <c r="K45" i="10" s="1"/>
  <c r="L25" i="6"/>
  <c r="K25" i="10" s="1"/>
  <c r="L138" i="6"/>
  <c r="K138" i="10" s="1"/>
  <c r="L37" i="6"/>
  <c r="K37" i="10" s="1"/>
  <c r="L5" i="6"/>
  <c r="K5" i="10" s="1"/>
  <c r="L47" i="6"/>
  <c r="K47" i="10" s="1"/>
  <c r="L65" i="6"/>
  <c r="K65" i="10" s="1"/>
  <c r="L49" i="6"/>
  <c r="K49" i="10" s="1"/>
  <c r="L56" i="6"/>
  <c r="K56" i="10" s="1"/>
  <c r="L63" i="6"/>
  <c r="K63" i="10" s="1"/>
  <c r="L40" i="6"/>
  <c r="K40" i="10" s="1"/>
  <c r="L97" i="6"/>
  <c r="K97" i="10" s="1"/>
  <c r="L27" i="6"/>
  <c r="K27" i="10" s="1"/>
  <c r="L154" i="6"/>
  <c r="K154" i="10" s="1"/>
  <c r="L134" i="6"/>
  <c r="K134" i="10" s="1"/>
  <c r="L17" i="6"/>
  <c r="K17" i="10" s="1"/>
  <c r="L71" i="6"/>
  <c r="K71" i="10" s="1"/>
  <c r="L90" i="6"/>
  <c r="K90" i="10" s="1"/>
  <c r="L136" i="6"/>
  <c r="K136" i="10" s="1"/>
  <c r="L39" i="6"/>
  <c r="K39" i="10" s="1"/>
  <c r="L130" i="6"/>
  <c r="K130" i="10" s="1"/>
  <c r="L121" i="6"/>
  <c r="K121" i="10" s="1"/>
  <c r="L126" i="6"/>
  <c r="K126" i="10" s="1"/>
  <c r="L91" i="6"/>
  <c r="K91" i="10" s="1"/>
  <c r="L111" i="6"/>
  <c r="K111" i="10" s="1"/>
  <c r="L48" i="6"/>
  <c r="K48" i="10" s="1"/>
  <c r="M300" i="3" l="1"/>
  <c r="M301" i="3"/>
  <c r="N301" i="3"/>
  <c r="N300" i="3"/>
  <c r="L302" i="3"/>
  <c r="K168" i="10"/>
  <c r="K170" i="10" s="1"/>
  <c r="J170" i="10"/>
  <c r="S168" i="10"/>
  <c r="V300" i="3" l="1"/>
  <c r="V301" i="3"/>
  <c r="M302" i="3"/>
  <c r="N302" i="3"/>
  <c r="V302" i="3" l="1"/>
</calcChain>
</file>

<file path=xl/sharedStrings.xml><?xml version="1.0" encoding="utf-8"?>
<sst xmlns="http://schemas.openxmlformats.org/spreadsheetml/2006/main" count="3310" uniqueCount="128">
  <si>
    <t>descriptio</t>
  </si>
  <si>
    <t>Depth</t>
  </si>
  <si>
    <t>Kharif_str</t>
  </si>
  <si>
    <t>Rabi_strg</t>
  </si>
  <si>
    <t>Area_m2</t>
  </si>
  <si>
    <t>Summer_str</t>
  </si>
  <si>
    <t>Total_stor</t>
  </si>
  <si>
    <t>Lakes/Ponds</t>
  </si>
  <si>
    <t>Total</t>
  </si>
  <si>
    <t>Depth_m</t>
  </si>
  <si>
    <t>Descrip</t>
  </si>
  <si>
    <t>Total_strg</t>
  </si>
  <si>
    <t>Rabi_loss</t>
  </si>
  <si>
    <t>Rabi_str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</si>
  <si>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</si>
  <si>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</si>
  <si>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</si>
  <si>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</si>
  <si>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</si>
  <si>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</si>
  <si>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</si>
  <si>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</si>
  <si>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</si>
  <si>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</si>
  <si>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</si>
  <si>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</si>
  <si>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</si>
  <si>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Season</t>
  </si>
  <si>
    <t>Evaporation (mm/day)</t>
  </si>
  <si>
    <t>Deep percolation (mm/day)</t>
  </si>
  <si>
    <t>Total (mm/day)</t>
  </si>
  <si>
    <t>Total (mm/month)</t>
  </si>
  <si>
    <t>Rabi</t>
  </si>
  <si>
    <t>Summer</t>
  </si>
  <si>
    <t>Kharif</t>
  </si>
  <si>
    <t>Storage (m3)</t>
  </si>
  <si>
    <t>Rabra Check Dam-1</t>
  </si>
  <si>
    <t>Kalyanpur Check Dam</t>
  </si>
  <si>
    <t xml:space="preserve">Safe factor </t>
  </si>
  <si>
    <t>Total Depth (m/month)</t>
  </si>
  <si>
    <t>Depth_m (after deducting safe factor)</t>
  </si>
  <si>
    <t>Dhusuma Check Dam</t>
  </si>
  <si>
    <t>Padhanpada Check Dam</t>
  </si>
  <si>
    <t>Gunduribadii Check Dam-1</t>
  </si>
  <si>
    <t>Gunduribadii Check Dam-2</t>
  </si>
  <si>
    <t>Kujamendhi Check Dam</t>
  </si>
  <si>
    <t>Durgaprasad Check Dam</t>
  </si>
  <si>
    <t>Jamusahi Check Dam</t>
  </si>
  <si>
    <t>Check Dam/Reservoir</t>
  </si>
  <si>
    <t>FID</t>
  </si>
  <si>
    <t>Longitude</t>
  </si>
  <si>
    <t>Latitude</t>
  </si>
  <si>
    <t>`</t>
  </si>
  <si>
    <t>Kalyanpur</t>
  </si>
  <si>
    <t>Bhandar</t>
  </si>
  <si>
    <t>Odagaon</t>
  </si>
  <si>
    <t>Sikharpur</t>
  </si>
  <si>
    <t>Jaringi</t>
  </si>
  <si>
    <t>Nandighora</t>
  </si>
  <si>
    <t>Badaput</t>
  </si>
  <si>
    <t>Rabara</t>
  </si>
  <si>
    <t>Badagarada</t>
  </si>
  <si>
    <t>Saradapur</t>
  </si>
  <si>
    <t>Dhusuma</t>
  </si>
  <si>
    <t>MWS Name</t>
  </si>
  <si>
    <t>MWS Code</t>
  </si>
  <si>
    <t>Odogaon_MCD1</t>
  </si>
  <si>
    <t>Rabra Check Dam_2</t>
  </si>
  <si>
    <t>Odogaon Check Dam -3</t>
  </si>
  <si>
    <t>Odogaon_Check_Dam</t>
  </si>
  <si>
    <t>Mahulia Check Dam</t>
  </si>
  <si>
    <t>Odogaon_Check_Dam_4</t>
  </si>
  <si>
    <t>Bilamanpur_Check_Dam</t>
  </si>
  <si>
    <t>Saradhapur_MCD</t>
  </si>
  <si>
    <t>Mathakhajuria_Check_Dam-2</t>
  </si>
  <si>
    <t>Kujamendhi anicut</t>
  </si>
  <si>
    <t>Durgaprasad</t>
  </si>
  <si>
    <t>Kujamendhi</t>
  </si>
  <si>
    <t>Gunduribadi</t>
  </si>
  <si>
    <t>Padhanpada</t>
  </si>
  <si>
    <t>MWS_Name</t>
  </si>
  <si>
    <t>Sundarkumpa</t>
  </si>
  <si>
    <t>Pemparada</t>
  </si>
  <si>
    <t>Chadeyapalli</t>
  </si>
  <si>
    <t>Bani</t>
  </si>
  <si>
    <t>Kuradhinisa</t>
  </si>
  <si>
    <t>Duda</t>
  </si>
  <si>
    <t>Kurudangi</t>
  </si>
  <si>
    <t>Kumbhikela</t>
  </si>
  <si>
    <t>Baijhari</t>
  </si>
  <si>
    <t>Sirisira</t>
  </si>
  <si>
    <t>Hanumanta</t>
  </si>
  <si>
    <t>Name</t>
  </si>
  <si>
    <t>NA</t>
  </si>
  <si>
    <t>Reservoir/MCD</t>
  </si>
  <si>
    <t>Total cummulative Depth (m/month)</t>
  </si>
  <si>
    <t>Category</t>
  </si>
  <si>
    <t>Total cummulative loss (m/month)</t>
  </si>
  <si>
    <t>Row Labels</t>
  </si>
  <si>
    <t>Grand Total</t>
  </si>
  <si>
    <t>Column Labels</t>
  </si>
  <si>
    <t>Count of Depth_m</t>
  </si>
  <si>
    <t>Sum of Jan</t>
  </si>
  <si>
    <t>Sum of Feb</t>
  </si>
  <si>
    <t>Sum of Mar</t>
  </si>
  <si>
    <t>Sum of Apr</t>
  </si>
  <si>
    <t>Sum of May</t>
  </si>
  <si>
    <t>Sum of Jun</t>
  </si>
  <si>
    <t>Sum of Jul</t>
  </si>
  <si>
    <t>Sum of Aug</t>
  </si>
  <si>
    <t>Sum of Sep</t>
  </si>
  <si>
    <t>Sum of Oct</t>
  </si>
  <si>
    <t>Sum of Nov</t>
  </si>
  <si>
    <t>Sum of Dec</t>
  </si>
  <si>
    <t>Total Sum of Jan</t>
  </si>
  <si>
    <t>Total Sum of Feb</t>
  </si>
  <si>
    <t>Total Sum of Mar</t>
  </si>
  <si>
    <t>Total Sum of Apr</t>
  </si>
  <si>
    <t>Total Sum of May</t>
  </si>
  <si>
    <t>Total Sum of Jun</t>
  </si>
  <si>
    <t>Total Sum of Jul</t>
  </si>
  <si>
    <t>Total Sum of Aug</t>
  </si>
  <si>
    <t>Total Sum of Sep</t>
  </si>
  <si>
    <t>Total Sum of Oct</t>
  </si>
  <si>
    <t>Total Sum of Nov</t>
  </si>
  <si>
    <t>Total Sum of Dec</t>
  </si>
  <si>
    <t>Khubhiapalli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</si>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</sst>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/>
    <xf numFmtId="2" fontId="0" fillId="0" borderId="1" xfId="0" applyNumberFormat="1" applyBorder="1" applyAlignment="1">
      <alignment vertical="center"/>
    </xf>
    <xf numFmtId="0" fontId="0" fillId="0" borderId="2" xfId="0" applyBorder="1"/>
    <xf numFmtId="0" fontId="3" fillId="0" borderId="2" xfId="0" applyFont="1" applyBorder="1"/>
    <xf numFmtId="0" fontId="3" fillId="2" borderId="2" xfId="0" applyFont="1" applyFill="1" applyBorder="1"/>
    <xf numFmtId="2" fontId="0" fillId="0" borderId="2" xfId="0" applyNumberFormat="1" applyBorder="1"/>
    <xf numFmtId="0" fontId="3" fillId="0" borderId="2" xfId="0" applyFont="1" applyFill="1" applyBorder="1"/>
    <xf numFmtId="2" fontId="0" fillId="0" borderId="0" xfId="0" applyNumberFormat="1"/>
    <xf numFmtId="0" fontId="0" fillId="0" borderId="3" xfId="0" applyFill="1" applyBorder="1"/>
    <xf numFmtId="0" fontId="0" fillId="0" borderId="2" xfId="0" applyFill="1" applyBorder="1"/>
    <xf numFmtId="2" fontId="0" fillId="2" borderId="2" xfId="0" applyNumberFormat="1" applyFill="1" applyBorder="1"/>
    <xf numFmtId="2" fontId="0" fillId="2" borderId="0" xfId="0" applyNumberFormat="1" applyFill="1"/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1" fontId="0" fillId="0" borderId="0" xfId="0" applyNumberFormat="1"/>
    <xf numFmtId="1" fontId="0" fillId="0" borderId="2" xfId="0" applyNumberFormat="1" applyBorder="1"/>
    <xf numFmtId="0" fontId="0" fillId="0" borderId="5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5" xfId="0" applyBorder="1"/>
    <xf numFmtId="1" fontId="0" fillId="0" borderId="5" xfId="0" applyNumberFormat="1" applyBorder="1"/>
    <xf numFmtId="0" fontId="0" fillId="0" borderId="0" xfId="0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vertical="center"/>
    </xf>
    <xf numFmtId="2" fontId="0" fillId="0" borderId="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5" xfId="0" applyNumberFormat="1" applyBorder="1"/>
    <xf numFmtId="2" fontId="0" fillId="0" borderId="2" xfId="0" applyNumberFormat="1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ill="1" applyBorder="1" applyAlignment="1">
      <alignment vertical="center"/>
    </xf>
  </cellXfs>
  <cellStyles count="1">
    <cellStyle name="Normal" xfId="0" builtinId="0"/>
  </cellStyles>
  <dxfs count="2"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4.754069097224" createdVersion="7" refreshedVersion="7" minRefreshableVersion="3" recordCount="295" xr:uid="{8720F80E-FC91-4EE8-8068-1B82FF394702}">
  <cacheSource type="worksheet">
    <worksheetSource ref="A1:U296" sheet="Odogaon_33"/>
  </cacheSource>
  <cacheFields count="21">
    <cacheField name="FID" numFmtId="0">
      <sharedItems containsSemiMixedTypes="0" containsString="0" containsNumber="1" containsInteger="1" minValue="0" maxValue="295"/>
    </cacheField>
    <cacheField name="Latitude" numFmtId="0">
      <sharedItems containsSemiMixedTypes="0" containsString="0" containsNumber="1" minValue="19.992000000000001" maxValue="20.066700000000001"/>
    </cacheField>
    <cacheField name="Longitude" numFmtId="0">
      <sharedItems containsSemiMixedTypes="0" containsString="0" containsNumber="1" minValue="84.9619" maxValue="85.163200000000003"/>
    </cacheField>
    <cacheField name="Category" numFmtId="0">
      <sharedItems count="2">
        <s v="Lakes/Ponds"/>
        <s v="Reservoir/MCD"/>
      </sharedItems>
    </cacheField>
    <cacheField name="Name" numFmtId="0">
      <sharedItems/>
    </cacheField>
    <cacheField name="Depth_m" numFmtId="0">
      <sharedItems containsSemiMixedTypes="0" containsString="0" containsNumber="1" minValue="0.3" maxValue="4"/>
    </cacheField>
    <cacheField name="Area_m2" numFmtId="0">
      <sharedItems containsSemiMixedTypes="0" containsString="0" containsNumber="1" minValue="56.44811" maxValue="77727.92"/>
    </cacheField>
    <cacheField name="MWS Name" numFmtId="0">
      <sharedItems count="12">
        <s v="Sikharpur"/>
        <s v="Dhusuma"/>
        <s v="Khubhiapalli"/>
        <s v="Saradapur"/>
        <s v="Rabara"/>
        <s v="Jaringi"/>
        <s v="Odagaon"/>
        <s v="Nandighora"/>
        <s v="Badaput"/>
        <s v="Bhandar"/>
        <s v="Badagarada"/>
        <s v="Kalyanpur"/>
      </sharedItems>
    </cacheField>
    <cacheField name="Depth_m (after deducting safe factor)" numFmtId="0">
      <sharedItems containsSemiMixedTypes="0" containsString="0" containsNumber="1" minValue="4.9999999999999989E-2" maxValue="3.75"/>
    </cacheField>
    <cacheField name="Jan" numFmtId="0">
      <sharedItems containsSemiMixedTypes="0" containsString="0" containsNumber="1" minValue="0" maxValue="262798.09752000001"/>
    </cacheField>
    <cacheField name="Feb" numFmtId="0">
      <sharedItems containsSemiMixedTypes="0" containsString="0" containsNumber="1" minValue="0" maxValue="249553.25995199999"/>
    </cacheField>
    <cacheField name="Mar" numFmtId="0">
      <sharedItems containsSemiMixedTypes="0" containsString="0" containsNumber="1" minValue="0" maxValue="234163.131792"/>
    </cacheField>
    <cacheField name="Apr" numFmtId="0">
      <sharedItems containsSemiMixedTypes="0" containsString="0" containsNumber="1" minValue="0" maxValue="218236.68098400001"/>
    </cacheField>
    <cacheField name="May" numFmtId="0">
      <sharedItems containsSemiMixedTypes="0" containsString="0" containsNumber="1" minValue="0" maxValue="199628.61693599998"/>
    </cacheField>
    <cacheField name="Jun" numFmtId="0">
      <sharedItems containsSemiMixedTypes="0" containsString="0" containsNumber="1" minValue="0" maxValue="199628.61693599998"/>
    </cacheField>
    <cacheField name="Jul" numFmtId="0">
      <sharedItems containsSemiMixedTypes="0" containsString="0" containsNumber="1" minValue="2.8224054999999995" maxValue="291479.7"/>
    </cacheField>
    <cacheField name="Aug" numFmtId="0">
      <sharedItems containsSemiMixedTypes="0" containsString="0" containsNumber="1" minValue="2.8224054999999995" maxValue="291479.7"/>
    </cacheField>
    <cacheField name="Sep" numFmtId="0">
      <sharedItems containsSemiMixedTypes="0" containsString="0" containsNumber="1" minValue="2.8224054999999995" maxValue="291479.7"/>
    </cacheField>
    <cacheField name="Oct" numFmtId="0">
      <sharedItems containsSemiMixedTypes="0" containsString="0" containsNumber="1" minValue="2.8224054999999995" maxValue="291479.7"/>
    </cacheField>
    <cacheField name="Nov" numFmtId="0">
      <sharedItems containsSemiMixedTypes="0" containsString="0" containsNumber="1" minValue="0" maxValue="281522.753448"/>
    </cacheField>
    <cacheField name="Dec" numFmtId="0">
      <sharedItems containsSemiMixedTypes="0" containsString="0" containsNumber="1" minValue="0" maxValue="272685.088944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0"/>
    <n v="20.037500000000001"/>
    <n v="85.113699999999994"/>
    <x v="0"/>
    <s v="NA"/>
    <n v="2"/>
    <n v="224.24"/>
    <x v="0"/>
    <n v="1.75"/>
    <n v="309.67544000000004"/>
    <n v="271.464944"/>
    <n v="227.06542400000001"/>
    <n v="181.11864800000001"/>
    <n v="127.43559200000001"/>
    <n v="127.43559200000001"/>
    <n v="392.42"/>
    <n v="392.42"/>
    <n v="392.42"/>
    <n v="392.42"/>
    <n v="363.69485600000002"/>
    <n v="338.19876800000003"/>
  </r>
  <r>
    <n v="1"/>
    <n v="20.0123"/>
    <n v="85.082499999999996"/>
    <x v="0"/>
    <s v="NA"/>
    <n v="2"/>
    <n v="240.41"/>
    <x v="1"/>
    <n v="1.75"/>
    <n v="332.00621000000001"/>
    <n v="291.040346"/>
    <n v="243.43916599999997"/>
    <n v="194.179157"/>
    <n v="136.62500299999999"/>
    <n v="136.62500299999999"/>
    <n v="420.71749999999997"/>
    <n v="420.71749999999997"/>
    <n v="420.71749999999997"/>
    <n v="420.71749999999997"/>
    <n v="389.92097900000005"/>
    <n v="362.58636200000001"/>
  </r>
  <r>
    <n v="2"/>
    <n v="20.0379"/>
    <n v="85.113399999999999"/>
    <x v="0"/>
    <s v="NA"/>
    <n v="2"/>
    <n v="402.31"/>
    <x v="0"/>
    <n v="1.75"/>
    <n v="555.59010999999998"/>
    <n v="487.03648599999997"/>
    <n v="407.37910599999998"/>
    <n v="324.945787"/>
    <n v="228.63277300000001"/>
    <n v="228.63277300000001"/>
    <n v="704.04250000000002"/>
    <n v="704.04250000000002"/>
    <n v="704.04250000000002"/>
    <n v="704.04250000000002"/>
    <n v="652.50658900000008"/>
    <n v="606.76394200000004"/>
  </r>
  <r>
    <n v="3"/>
    <n v="20.0108"/>
    <n v="85.082499999999996"/>
    <x v="0"/>
    <s v="NA"/>
    <n v="3"/>
    <n v="2124.0100000000002"/>
    <x v="1"/>
    <n v="2.75"/>
    <n v="5057.2678100000012"/>
    <n v="4695.3365060000006"/>
    <n v="4274.782526"/>
    <n v="3839.5728770000005"/>
    <n v="3331.0848830000004"/>
    <n v="3331.0848830000004"/>
    <n v="5841.0275000000001"/>
    <n v="5841.0275000000001"/>
    <n v="5841.0275000000001"/>
    <n v="5841.0275000000001"/>
    <n v="5568.9418190000006"/>
    <n v="5327.4418820000001"/>
  </r>
  <r>
    <n v="4"/>
    <n v="20.038499999999999"/>
    <n v="85.113500000000002"/>
    <x v="0"/>
    <s v="NA"/>
    <n v="2"/>
    <n v="245.48"/>
    <x v="0"/>
    <n v="1.75"/>
    <n v="339.00788"/>
    <n v="297.17808799999995"/>
    <n v="248.57304799999997"/>
    <n v="198.27419599999999"/>
    <n v="139.50628399999999"/>
    <n v="139.50628399999999"/>
    <n v="429.59"/>
    <n v="429.59"/>
    <n v="429.59"/>
    <n v="429.59"/>
    <n v="398.14401200000003"/>
    <n v="370.232936"/>
  </r>
  <r>
    <n v="5"/>
    <n v="20.039100000000001"/>
    <n v="85.113500000000002"/>
    <x v="0"/>
    <s v="NA"/>
    <n v="2"/>
    <n v="295.2"/>
    <x v="0"/>
    <n v="1.75"/>
    <n v="407.6712"/>
    <n v="357.36911999999995"/>
    <n v="298.91951999999998"/>
    <n v="238.43303999999998"/>
    <n v="167.76215999999999"/>
    <n v="167.76215999999999"/>
    <n v="516.6"/>
    <n v="516.6"/>
    <n v="516.6"/>
    <n v="516.6"/>
    <n v="478.78488000000004"/>
    <n v="445.22064"/>
  </r>
  <r>
    <n v="6"/>
    <n v="20.031500000000001"/>
    <n v="85.100999999999999"/>
    <x v="0"/>
    <s v="NA"/>
    <n v="2"/>
    <n v="101.13"/>
    <x v="0"/>
    <n v="1.75"/>
    <n v="139.66052999999999"/>
    <n v="122.42797799999998"/>
    <n v="102.40423799999999"/>
    <n v="81.682700999999994"/>
    <n v="57.472178999999997"/>
    <n v="57.472178999999997"/>
    <n v="176.97749999999999"/>
    <n v="176.97749999999999"/>
    <n v="176.97749999999999"/>
    <n v="176.97749999999999"/>
    <n v="164.02274700000001"/>
    <n v="152.52426599999998"/>
  </r>
  <r>
    <n v="7"/>
    <n v="20.0379"/>
    <n v="84.966999999999999"/>
    <x v="0"/>
    <s v="NA"/>
    <n v="2"/>
    <n v="325.86"/>
    <x v="2"/>
    <n v="1.75"/>
    <n v="450.01266000000004"/>
    <n v="394.48611599999998"/>
    <n v="329.96583599999997"/>
    <n v="263.19712199999998"/>
    <n v="185.186238"/>
    <n v="185.186238"/>
    <n v="570.255"/>
    <n v="570.255"/>
    <n v="570.255"/>
    <n v="570.255"/>
    <n v="528.51233400000001"/>
    <n v="491.46205200000003"/>
  </r>
  <r>
    <n v="8"/>
    <n v="20.0457"/>
    <n v="85.031300000000002"/>
    <x v="0"/>
    <s v="NA"/>
    <n v="2"/>
    <n v="830.15"/>
    <x v="3"/>
    <n v="1.75"/>
    <n v="1146.43715"/>
    <n v="1004.9795899999999"/>
    <n v="840.60988999999995"/>
    <n v="670.51215500000001"/>
    <n v="471.77424500000001"/>
    <n v="471.77424500000001"/>
    <n v="1452.7625"/>
    <n v="1452.7625"/>
    <n v="1452.7625"/>
    <n v="1452.7625"/>
    <n v="1346.4202850000001"/>
    <n v="1252.03223"/>
  </r>
  <r>
    <n v="9"/>
    <n v="20.0091"/>
    <n v="85.007599999999996"/>
    <x v="0"/>
    <s v="NA"/>
    <n v="3"/>
    <n v="857.31"/>
    <x v="4"/>
    <n v="2.75"/>
    <n v="2041.2551100000001"/>
    <n v="1895.1694859999998"/>
    <n v="1725.4221059999998"/>
    <n v="1549.7592870000001"/>
    <n v="1344.5192729999999"/>
    <n v="1344.5192729999999"/>
    <n v="2357.6025"/>
    <n v="2357.6025"/>
    <n v="2357.6025"/>
    <n v="2357.6025"/>
    <n v="2247.7810890000001"/>
    <n v="2150.3049419999998"/>
  </r>
  <r>
    <n v="10"/>
    <n v="20.034099999999999"/>
    <n v="84.966700000000003"/>
    <x v="0"/>
    <s v="NA"/>
    <n v="3"/>
    <n v="4729.47"/>
    <x v="2"/>
    <n v="2.75"/>
    <n v="11260.868070000002"/>
    <n v="10454.966382000001"/>
    <n v="9518.5313220000007"/>
    <n v="8549.4629190000014"/>
    <n v="7417.2278010000009"/>
    <n v="7417.2278010000009"/>
    <n v="13006.042500000001"/>
    <n v="13006.042500000001"/>
    <n v="13006.042500000001"/>
    <n v="13006.042500000001"/>
    <n v="12400.197393"/>
    <n v="11862.456654000001"/>
  </r>
  <r>
    <n v="11"/>
    <n v="20.0168"/>
    <n v="84.989800000000002"/>
    <x v="0"/>
    <s v="NA"/>
    <n v="3"/>
    <n v="2642.2"/>
    <x v="5"/>
    <n v="2.75"/>
    <n v="6291.0781999999999"/>
    <n v="5840.8473199999989"/>
    <n v="5317.6917199999998"/>
    <n v="4776.30494"/>
    <n v="4143.7622599999995"/>
    <n v="4143.7622599999995"/>
    <n v="7266.0499999999993"/>
    <n v="7266.0499999999993"/>
    <n v="7266.0499999999993"/>
    <n v="7266.0499999999993"/>
    <n v="6927.5841799999998"/>
    <n v="6627.1660399999992"/>
  </r>
  <r>
    <n v="12"/>
    <n v="20.018899999999999"/>
    <n v="84.9893"/>
    <x v="0"/>
    <s v="NA"/>
    <n v="2"/>
    <n v="465.72"/>
    <x v="5"/>
    <n v="1.75"/>
    <n v="643.15932000000009"/>
    <n v="563.80063199999995"/>
    <n v="471.58807200000001"/>
    <n v="376.16204400000004"/>
    <n v="264.668676"/>
    <n v="264.668676"/>
    <n v="815.01"/>
    <n v="815.01"/>
    <n v="815.01"/>
    <n v="815.01"/>
    <n v="755.35126800000012"/>
    <n v="702.39890400000002"/>
  </r>
  <r>
    <n v="13"/>
    <n v="20.0229"/>
    <n v="84.9846"/>
    <x v="0"/>
    <s v="NA"/>
    <n v="4"/>
    <n v="14807.55"/>
    <x v="5"/>
    <n v="3.75"/>
    <n v="50064.326549999998"/>
    <n v="47541.120029999998"/>
    <n v="44609.225129999999"/>
    <n v="41575.158134999998"/>
    <n v="38030.230664999995"/>
    <n v="38030.230664999995"/>
    <n v="55528.3125"/>
    <n v="55528.3125"/>
    <n v="55528.3125"/>
    <n v="55528.3125"/>
    <n v="53631.465344999997"/>
    <n v="51947.84691"/>
  </r>
  <r>
    <n v="14"/>
    <n v="20.0242"/>
    <n v="84.9833"/>
    <x v="0"/>
    <s v="NA"/>
    <n v="3.5"/>
    <n v="8632.09"/>
    <x v="5"/>
    <n v="3.25"/>
    <n v="24869.051290000003"/>
    <n v="23398.143154000001"/>
    <n v="21688.989334000002"/>
    <n v="19920.274093"/>
    <n v="17853.751746999998"/>
    <n v="17853.751746999998"/>
    <n v="28054.2925"/>
    <n v="28054.2925"/>
    <n v="28054.2925"/>
    <n v="28054.2925"/>
    <n v="26948.521771"/>
    <n v="25967.053137999999"/>
  </r>
  <r>
    <n v="15"/>
    <n v="20.023700000000002"/>
    <n v="84.986900000000006"/>
    <x v="0"/>
    <s v="NA"/>
    <n v="2"/>
    <n v="425.84"/>
    <x v="5"/>
    <n v="1.75"/>
    <n v="588.08503999999994"/>
    <n v="515.52190399999995"/>
    <n v="431.20558399999993"/>
    <n v="343.95096799999999"/>
    <n v="242.00487200000001"/>
    <n v="242.00487200000001"/>
    <n v="745.21999999999991"/>
    <n v="745.21999999999991"/>
    <n v="745.21999999999991"/>
    <n v="745.21999999999991"/>
    <n v="690.66989599999999"/>
    <n v="642.25188800000001"/>
  </r>
  <r>
    <n v="16"/>
    <n v="20.025300000000001"/>
    <n v="84.986800000000002"/>
    <x v="0"/>
    <s v="NA"/>
    <n v="2"/>
    <n v="3644.58"/>
    <x v="5"/>
    <n v="1.75"/>
    <n v="5033.1649799999996"/>
    <n v="4412.1285479999997"/>
    <n v="3690.5017079999998"/>
    <n v="2943.7272659999999"/>
    <n v="2071.2148139999999"/>
    <n v="2071.2148139999999"/>
    <n v="6378.0149999999994"/>
    <n v="6378.0149999999994"/>
    <n v="6378.0149999999994"/>
    <n v="6378.0149999999994"/>
    <n v="5911.1443020000006"/>
    <n v="5496.7555560000001"/>
  </r>
  <r>
    <n v="17"/>
    <n v="20.0337"/>
    <n v="84.967600000000004"/>
    <x v="0"/>
    <s v="NA"/>
    <n v="3"/>
    <n v="342.3"/>
    <x v="2"/>
    <n v="2.75"/>
    <n v="815.01630000000011"/>
    <n v="756.68837999999994"/>
    <n v="688.91297999999995"/>
    <n v="618.77571"/>
    <n v="536.82909000000006"/>
    <n v="536.82909000000006"/>
    <n v="941.32500000000005"/>
    <n v="941.32500000000005"/>
    <n v="941.32500000000005"/>
    <n v="941.32500000000005"/>
    <n v="897.47637000000009"/>
    <n v="858.55686000000003"/>
  </r>
  <r>
    <n v="18"/>
    <n v="20.032800000000002"/>
    <n v="84.964299999999994"/>
    <x v="0"/>
    <s v="NA"/>
    <n v="4"/>
    <n v="7292.52"/>
    <x v="2"/>
    <n v="3.75"/>
    <n v="24656.010120000003"/>
    <n v="23413.364712000002"/>
    <n v="21969.445752"/>
    <n v="20475.208404000001"/>
    <n v="18729.379116"/>
    <n v="18729.379116"/>
    <n v="27346.95"/>
    <n v="27346.95"/>
    <n v="27346.95"/>
    <n v="27346.95"/>
    <n v="26412.778188000004"/>
    <n v="25583.618664000001"/>
  </r>
  <r>
    <n v="19"/>
    <n v="20.0304"/>
    <n v="84.968699999999998"/>
    <x v="0"/>
    <s v="NA"/>
    <n v="3.5"/>
    <n v="7901.06"/>
    <x v="2"/>
    <n v="3.25"/>
    <n v="22762.953860000001"/>
    <n v="21416.613236000001"/>
    <n v="19852.203356000002"/>
    <n v="18233.276162000002"/>
    <n v="16341.762397999999"/>
    <n v="16341.762397999999"/>
    <n v="25678.445"/>
    <n v="25678.445"/>
    <n v="25678.445"/>
    <n v="25678.445"/>
    <n v="24666.319214000003"/>
    <n v="23767.968692000002"/>
  </r>
  <r>
    <n v="20"/>
    <n v="20.029900000000001"/>
    <n v="84.963999999999999"/>
    <x v="0"/>
    <s v="NA"/>
    <n v="3"/>
    <n v="2098.08"/>
    <x v="2"/>
    <n v="2.75"/>
    <n v="4995.5284799999999"/>
    <n v="4638.0156479999996"/>
    <n v="4222.595808"/>
    <n v="3792.699216"/>
    <n v="3290.4188639999998"/>
    <n v="3290.4188639999998"/>
    <n v="5769.7199999999993"/>
    <n v="5769.7199999999993"/>
    <n v="5769.7199999999993"/>
    <n v="5769.7199999999993"/>
    <n v="5500.9559520000003"/>
    <n v="5262.4042559999998"/>
  </r>
  <r>
    <n v="21"/>
    <n v="20.023499999999999"/>
    <n v="84.963399999999993"/>
    <x v="0"/>
    <s v="NA"/>
    <n v="4"/>
    <n v="1914.1"/>
    <x v="2"/>
    <n v="3.75"/>
    <n v="6471.5721000000003"/>
    <n v="6145.4094599999999"/>
    <n v="5766.4176600000001"/>
    <n v="5374.21857"/>
    <n v="4915.9830299999994"/>
    <n v="4915.9830299999994"/>
    <n v="7177.875"/>
    <n v="7177.875"/>
    <n v="7177.875"/>
    <n v="7177.875"/>
    <n v="6932.6787899999999"/>
    <n v="6715.0456199999999"/>
  </r>
  <r>
    <n v="22"/>
    <n v="20.023599999999998"/>
    <n v="84.966700000000003"/>
    <x v="0"/>
    <s v="NA"/>
    <n v="4"/>
    <n v="8725.32"/>
    <x v="2"/>
    <n v="3.75"/>
    <n v="29500.306920000003"/>
    <n v="28013.512391999997"/>
    <n v="26285.899031999998"/>
    <n v="24498.080964000001"/>
    <n v="22409.239355999998"/>
    <n v="22409.239355999998"/>
    <n v="32719.949999999997"/>
    <n v="32719.949999999997"/>
    <n v="32719.949999999997"/>
    <n v="32719.949999999997"/>
    <n v="31602.236508000002"/>
    <n v="30610.167623999998"/>
  </r>
  <r>
    <n v="23"/>
    <n v="20.022600000000001"/>
    <n v="84.975999999999999"/>
    <x v="0"/>
    <s v="NA"/>
    <n v="4"/>
    <n v="50782.82"/>
    <x v="6"/>
    <n v="3.75"/>
    <n v="171696.71442"/>
    <n v="163043.32189200001"/>
    <n v="152988.32353200001"/>
    <n v="142582.923714"/>
    <n v="130425.51660599999"/>
    <n v="130425.51660599999"/>
    <n v="190435.57500000001"/>
    <n v="190435.57500000001"/>
    <n v="190435.57500000001"/>
    <n v="190435.57500000001"/>
    <n v="183930.29575799999"/>
    <n v="178156.289124"/>
  </r>
  <r>
    <n v="24"/>
    <n v="20.014800000000001"/>
    <n v="84.965599999999995"/>
    <x v="0"/>
    <s v="NA"/>
    <n v="3"/>
    <n v="14540.93"/>
    <x v="2"/>
    <n v="2.75"/>
    <n v="34621.95433"/>
    <n v="32144.179858"/>
    <n v="29265.075718"/>
    <n v="26285.639161000003"/>
    <n v="22804.540519000002"/>
    <n v="22804.540519000002"/>
    <n v="39987.557500000003"/>
    <n v="39987.557500000003"/>
    <n v="39987.557500000003"/>
    <n v="39987.557500000003"/>
    <n v="38124.864367000002"/>
    <n v="36471.560625999999"/>
  </r>
  <r>
    <n v="25"/>
    <n v="20.0075"/>
    <n v="84.965800000000002"/>
    <x v="0"/>
    <s v="NA"/>
    <n v="2"/>
    <n v="1837.4"/>
    <x v="2"/>
    <n v="1.75"/>
    <n v="2537.4494"/>
    <n v="2224.35644"/>
    <n v="1860.55124"/>
    <n v="1484.06798"/>
    <n v="1044.19442"/>
    <n v="1044.19442"/>
    <n v="3215.4500000000003"/>
    <n v="3215.4500000000003"/>
    <n v="3215.4500000000003"/>
    <n v="3215.4500000000003"/>
    <n v="2980.0790600000005"/>
    <n v="2771.1666800000003"/>
  </r>
  <r>
    <n v="26"/>
    <n v="20.006900000000002"/>
    <n v="84.965900000000005"/>
    <x v="0"/>
    <s v="NA"/>
    <n v="3"/>
    <n v="6228.45"/>
    <x v="2"/>
    <n v="2.75"/>
    <n v="14829.939450000002"/>
    <n v="13768.611569999999"/>
    <n v="12535.37847"/>
    <n v="11259.169065"/>
    <n v="9768.0781349999997"/>
    <n v="9768.0781349999997"/>
    <n v="17128.237499999999"/>
    <n v="17128.237499999999"/>
    <n v="17128.237499999999"/>
    <n v="17128.237499999999"/>
    <n v="16330.373055"/>
    <n v="15622.19829"/>
  </r>
  <r>
    <n v="27"/>
    <n v="20.0063"/>
    <n v="84.966499999999996"/>
    <x v="0"/>
    <s v="NA"/>
    <n v="2"/>
    <n v="3637.72"/>
    <x v="2"/>
    <n v="1.75"/>
    <n v="5023.6913199999999"/>
    <n v="4403.8238319999991"/>
    <n v="3683.5552719999996"/>
    <n v="2938.1864439999999"/>
    <n v="2067.316276"/>
    <n v="2067.316276"/>
    <n v="6366.0099999999993"/>
    <n v="6366.0099999999993"/>
    <n v="6366.0099999999993"/>
    <n v="6366.0099999999993"/>
    <n v="5900.0180680000003"/>
    <n v="5486.4093039999998"/>
  </r>
  <r>
    <n v="28"/>
    <n v="20.0063"/>
    <n v="84.969300000000004"/>
    <x v="0"/>
    <s v="NA"/>
    <n v="2"/>
    <n v="721.48"/>
    <x v="2"/>
    <n v="1.75"/>
    <n v="996.36387999999999"/>
    <n v="873.42368799999997"/>
    <n v="730.57064800000001"/>
    <n v="582.73939599999994"/>
    <n v="410.01708400000001"/>
    <n v="410.01708400000001"/>
    <n v="1262.5900000000001"/>
    <n v="1262.5900000000001"/>
    <n v="1262.5900000000001"/>
    <n v="1262.5900000000001"/>
    <n v="1170.1684120000002"/>
    <n v="1088.1361360000001"/>
  </r>
  <r>
    <n v="29"/>
    <n v="20.004899999999999"/>
    <n v="84.971000000000004"/>
    <x v="0"/>
    <s v="NA"/>
    <n v="2"/>
    <n v="549.59"/>
    <x v="2"/>
    <n v="1.75"/>
    <n v="758.98379"/>
    <n v="665.33365400000002"/>
    <n v="556.51483399999995"/>
    <n v="443.90384299999999"/>
    <n v="312.33199700000006"/>
    <n v="312.33199700000006"/>
    <n v="961.78250000000003"/>
    <n v="961.78250000000003"/>
    <n v="961.78250000000003"/>
    <n v="961.78250000000003"/>
    <n v="891.38002100000017"/>
    <n v="828.89163800000006"/>
  </r>
  <r>
    <n v="30"/>
    <n v="19.999199999999998"/>
    <n v="84.972200000000001"/>
    <x v="0"/>
    <s v="NA"/>
    <n v="4"/>
    <n v="8715.41"/>
    <x v="2"/>
    <n v="3.75"/>
    <n v="29466.801210000001"/>
    <n v="27981.695346"/>
    <n v="26256.044166"/>
    <n v="24470.256657000002"/>
    <n v="22383.787503"/>
    <n v="22383.787503"/>
    <n v="32682.787499999999"/>
    <n v="32682.787499999999"/>
    <n v="32682.787499999999"/>
    <n v="32682.787499999999"/>
    <n v="31566.343478999999"/>
    <n v="30575.401362000001"/>
  </r>
  <r>
    <n v="31"/>
    <n v="19.996400000000001"/>
    <n v="84.972899999999996"/>
    <x v="0"/>
    <s v="NA"/>
    <n v="4"/>
    <n v="1121.71"/>
    <x v="2"/>
    <n v="3.75"/>
    <n v="3792.5015100000005"/>
    <n v="3601.362126"/>
    <n v="3379.2635460000001"/>
    <n v="3149.4251670000003"/>
    <n v="2880.8877929999999"/>
    <n v="2880.8877929999999"/>
    <n v="4206.4125000000004"/>
    <n v="4206.4125000000004"/>
    <n v="4206.4125000000004"/>
    <n v="4206.4125000000004"/>
    <n v="4062.7214490000001"/>
    <n v="3935.1830220000002"/>
  </r>
  <r>
    <n v="32"/>
    <n v="19.992000000000001"/>
    <n v="84.973600000000005"/>
    <x v="0"/>
    <s v="NA"/>
    <n v="3"/>
    <n v="2199.67"/>
    <x v="2"/>
    <n v="2.75"/>
    <n v="5237.4142700000011"/>
    <n v="4862.590502"/>
    <n v="4427.0558419999998"/>
    <n v="3976.3434590000002"/>
    <n v="3449.7424610000003"/>
    <n v="3449.7424610000003"/>
    <n v="6049.0925000000007"/>
    <n v="6049.0925000000007"/>
    <n v="6049.0925000000007"/>
    <n v="6049.0925000000007"/>
    <n v="5767.3147730000001"/>
    <n v="5517.2122939999999"/>
  </r>
  <r>
    <n v="33"/>
    <n v="19.992599999999999"/>
    <n v="84.973100000000002"/>
    <x v="0"/>
    <s v="NA"/>
    <n v="3"/>
    <n v="877.95"/>
    <x v="2"/>
    <n v="2.75"/>
    <n v="2090.3989500000002"/>
    <n v="1940.79627"/>
    <n v="1766.96217"/>
    <n v="1587.0702150000002"/>
    <n v="1376.888985"/>
    <n v="1376.888985"/>
    <n v="2414.3625000000002"/>
    <n v="2414.3625000000002"/>
    <n v="2414.3625000000002"/>
    <n v="2414.3625000000002"/>
    <n v="2301.897105"/>
    <n v="2202.0741900000003"/>
  </r>
  <r>
    <n v="34"/>
    <n v="20.0106"/>
    <n v="84.970299999999995"/>
    <x v="0"/>
    <s v="NA"/>
    <n v="2"/>
    <n v="1969.51"/>
    <x v="2"/>
    <n v="1.75"/>
    <n v="2719.8933099999999"/>
    <n v="2384.2888059999996"/>
    <n v="1994.3258259999998"/>
    <n v="1590.7732269999999"/>
    <n v="1119.2725330000001"/>
    <n v="1119.2725330000001"/>
    <n v="3446.6424999999999"/>
    <n v="3446.6424999999999"/>
    <n v="3446.6424999999999"/>
    <n v="3446.6424999999999"/>
    <n v="3194.3482690000001"/>
    <n v="2970.4149819999998"/>
  </r>
  <r>
    <n v="35"/>
    <n v="20.008700000000001"/>
    <n v="84.973600000000005"/>
    <x v="0"/>
    <s v="NA"/>
    <n v="2"/>
    <n v="1962.42"/>
    <x v="6"/>
    <n v="1.75"/>
    <n v="2710.1020200000003"/>
    <n v="2375.7056520000001"/>
    <n v="1987.1464919999999"/>
    <n v="1585.046634"/>
    <n v="1115.2432860000001"/>
    <n v="1115.2432860000001"/>
    <n v="3434.2350000000001"/>
    <n v="3434.2350000000001"/>
    <n v="3434.2350000000001"/>
    <n v="3434.2350000000001"/>
    <n v="3182.8489980000004"/>
    <n v="2959.7218440000001"/>
  </r>
  <r>
    <n v="36"/>
    <n v="20.011600000000001"/>
    <n v="84.975899999999996"/>
    <x v="0"/>
    <s v="NA"/>
    <n v="3"/>
    <n v="2145.2800000000002"/>
    <x v="6"/>
    <n v="2.75"/>
    <n v="5107.9116800000011"/>
    <n v="4742.3559679999998"/>
    <n v="4317.5905280000006"/>
    <n v="3878.0226560000006"/>
    <n v="3364.4426240000003"/>
    <n v="3364.4426240000003"/>
    <n v="5899.52"/>
    <n v="5899.52"/>
    <n v="5899.52"/>
    <n v="5899.52"/>
    <n v="5624.709632000001"/>
    <n v="5380.7912960000003"/>
  </r>
  <r>
    <n v="37"/>
    <n v="20.010300000000001"/>
    <n v="84.975499999999997"/>
    <x v="0"/>
    <s v="NA"/>
    <n v="2"/>
    <n v="757.34"/>
    <x v="6"/>
    <n v="1.75"/>
    <n v="1045.88654"/>
    <n v="916.83580399999994"/>
    <n v="766.88248399999998"/>
    <n v="611.70351800000003"/>
    <n v="430.39632200000005"/>
    <n v="430.39632200000005"/>
    <n v="1325.345"/>
    <n v="1325.345"/>
    <n v="1325.345"/>
    <n v="1325.345"/>
    <n v="1228.3297460000001"/>
    <n v="1142.220188"/>
  </r>
  <r>
    <n v="38"/>
    <n v="20.019300000000001"/>
    <n v="84.973200000000006"/>
    <x v="0"/>
    <s v="NA"/>
    <n v="3"/>
    <n v="5322.6"/>
    <x v="2"/>
    <n v="2.75"/>
    <n v="12673.110600000002"/>
    <n v="11766.13956"/>
    <n v="10712.26476"/>
    <n v="9621.664020000002"/>
    <n v="8347.4335800000008"/>
    <n v="8347.4335800000008"/>
    <n v="14637.150000000001"/>
    <n v="14637.150000000001"/>
    <n v="14637.150000000001"/>
    <n v="14637.150000000001"/>
    <n v="13955.324940000002"/>
    <n v="13350.145320000001"/>
  </r>
  <r>
    <n v="39"/>
    <n v="20.0396"/>
    <n v="84.975200000000001"/>
    <x v="0"/>
    <s v="NA"/>
    <n v="2"/>
    <n v="385.63"/>
    <x v="6"/>
    <n v="1.75"/>
    <n v="532.55502999999999"/>
    <n v="466.84367799999995"/>
    <n v="390.48893799999996"/>
    <n v="311.47335099999998"/>
    <n v="219.15352900000002"/>
    <n v="219.15352900000002"/>
    <n v="674.85249999999996"/>
    <n v="674.85249999999996"/>
    <n v="674.85249999999996"/>
    <n v="674.85249999999996"/>
    <n v="625.45329700000002"/>
    <n v="581.60716600000001"/>
  </r>
  <r>
    <n v="40"/>
    <n v="20.0318"/>
    <n v="84.976699999999994"/>
    <x v="0"/>
    <s v="NA"/>
    <n v="2"/>
    <n v="343.77"/>
    <x v="6"/>
    <n v="1.75"/>
    <n v="474.74636999999996"/>
    <n v="416.16796199999993"/>
    <n v="348.10150199999998"/>
    <n v="277.66302899999999"/>
    <n v="195.36449099999999"/>
    <n v="195.36449099999999"/>
    <n v="601.59749999999997"/>
    <n v="601.59749999999997"/>
    <n v="601.59749999999997"/>
    <n v="601.59749999999997"/>
    <n v="557.560563"/>
    <n v="518.47391399999992"/>
  </r>
  <r>
    <n v="41"/>
    <n v="20.0258"/>
    <n v="84.972899999999996"/>
    <x v="0"/>
    <s v="NA"/>
    <n v="4"/>
    <n v="1412.6"/>
    <x v="2"/>
    <n v="3.75"/>
    <n v="4776.0006000000003"/>
    <n v="4535.2935599999992"/>
    <n v="4255.5987599999999"/>
    <n v="3966.1570199999996"/>
    <n v="3627.9805799999995"/>
    <n v="3627.9805799999995"/>
    <n v="5297.25"/>
    <n v="5297.25"/>
    <n v="5297.25"/>
    <n v="5297.25"/>
    <n v="5116.29594"/>
    <n v="4955.6833200000001"/>
  </r>
  <r>
    <n v="42"/>
    <n v="20.020099999999999"/>
    <n v="84.978800000000007"/>
    <x v="0"/>
    <s v="NA"/>
    <n v="2"/>
    <n v="1584.45"/>
    <x v="6"/>
    <n v="1.75"/>
    <n v="2188.12545"/>
    <n v="1918.1351699999998"/>
    <n v="1604.41407"/>
    <n v="1279.7602649999999"/>
    <n v="900.44293500000003"/>
    <n v="900.44293500000003"/>
    <n v="2772.7874999999999"/>
    <n v="2772.7874999999999"/>
    <n v="2772.7874999999999"/>
    <n v="2772.7874999999999"/>
    <n v="2569.8194550000003"/>
    <n v="2389.6674900000003"/>
  </r>
  <r>
    <n v="43"/>
    <n v="20.014199999999999"/>
    <n v="84.985299999999995"/>
    <x v="0"/>
    <s v="NA"/>
    <n v="4"/>
    <n v="2414.85"/>
    <x v="5"/>
    <n v="3.75"/>
    <n v="8164.6078500000003"/>
    <n v="7753.1174099999998"/>
    <n v="7274.9771099999998"/>
    <n v="6780.1743450000004"/>
    <n v="6202.0592549999992"/>
    <n v="6202.0592549999992"/>
    <n v="9055.6875"/>
    <n v="9055.6875"/>
    <n v="9055.6875"/>
    <n v="9055.6875"/>
    <n v="8746.3452149999994"/>
    <n v="8471.7767700000004"/>
  </r>
  <r>
    <n v="44"/>
    <n v="20.017099999999999"/>
    <n v="84.983500000000006"/>
    <x v="0"/>
    <s v="NA"/>
    <n v="2"/>
    <n v="426.4"/>
    <x v="5"/>
    <n v="1.75"/>
    <n v="588.85839999999996"/>
    <n v="516.19983999999988"/>
    <n v="431.77263999999997"/>
    <n v="344.40328"/>
    <n v="242.32311999999999"/>
    <n v="242.32311999999999"/>
    <n v="746.19999999999993"/>
    <n v="746.19999999999993"/>
    <n v="746.19999999999993"/>
    <n v="746.19999999999993"/>
    <n v="691.57816000000003"/>
    <n v="643.09647999999993"/>
  </r>
  <r>
    <n v="45"/>
    <n v="20.020299999999999"/>
    <n v="84.981099999999998"/>
    <x v="0"/>
    <s v="NA"/>
    <n v="2"/>
    <n v="1361.72"/>
    <x v="5"/>
    <n v="1.75"/>
    <n v="1880.53532"/>
    <n v="1648.4982319999999"/>
    <n v="1378.8776719999998"/>
    <n v="1099.8612439999999"/>
    <n v="773.86547600000006"/>
    <n v="773.86547600000006"/>
    <n v="2383.0100000000002"/>
    <n v="2383.0100000000002"/>
    <n v="2383.0100000000002"/>
    <n v="2383.0100000000002"/>
    <n v="2208.573668"/>
    <n v="2053.7461039999998"/>
  </r>
  <r>
    <n v="46"/>
    <n v="20.027000000000001"/>
    <n v="84.984499999999997"/>
    <x v="0"/>
    <s v="NA"/>
    <n v="3"/>
    <n v="6139.81"/>
    <x v="5"/>
    <n v="2.75"/>
    <n v="14618.887610000002"/>
    <n v="13572.663986"/>
    <n v="12356.981606000001"/>
    <n v="11098.934537000001"/>
    <n v="9629.0640230000008"/>
    <n v="9629.0640230000008"/>
    <n v="16884.477500000001"/>
    <n v="16884.477500000001"/>
    <n v="16884.477500000001"/>
    <n v="16884.477500000001"/>
    <n v="16097.967839000003"/>
    <n v="15399.871442000001"/>
  </r>
  <r>
    <n v="47"/>
    <n v="20.029800000000002"/>
    <n v="84.991799999999998"/>
    <x v="0"/>
    <s v="NA"/>
    <n v="4"/>
    <n v="3819.1"/>
    <x v="5"/>
    <n v="3.75"/>
    <n v="12912.3771"/>
    <n v="12261.60246"/>
    <n v="11505.42066"/>
    <n v="10722.887070000001"/>
    <n v="9808.5945299999985"/>
    <n v="9808.5945299999985"/>
    <n v="14321.625"/>
    <n v="14321.625"/>
    <n v="14321.625"/>
    <n v="14321.625"/>
    <n v="13832.398290000001"/>
    <n v="13398.16662"/>
  </r>
  <r>
    <n v="48"/>
    <n v="20.0319"/>
    <n v="84.992000000000004"/>
    <x v="0"/>
    <s v="NA"/>
    <n v="4"/>
    <n v="4273.8500000000004"/>
    <x v="5"/>
    <n v="3.75"/>
    <n v="14449.886850000003"/>
    <n v="13721.622810000001"/>
    <n v="12875.400510000001"/>
    <n v="11999.688645000002"/>
    <n v="10976.528955"/>
    <n v="10976.528955"/>
    <n v="16026.937500000002"/>
    <n v="16026.937500000002"/>
    <n v="16026.937500000002"/>
    <n v="16026.937500000002"/>
    <n v="15479.457315000001"/>
    <n v="14993.520570000001"/>
  </r>
  <r>
    <n v="49"/>
    <n v="20.033300000000001"/>
    <n v="84.991600000000005"/>
    <x v="0"/>
    <s v="NA"/>
    <n v="4"/>
    <n v="1605.13"/>
    <x v="5"/>
    <n v="3.75"/>
    <n v="5426.9445300000007"/>
    <n v="5153.430378"/>
    <n v="4835.614638"/>
    <n v="4506.7235010000004"/>
    <n v="4122.455379"/>
    <n v="4122.455379"/>
    <n v="6019.2375000000002"/>
    <n v="6019.2375000000002"/>
    <n v="6019.2375000000002"/>
    <n v="6019.2375000000002"/>
    <n v="5813.6203470000009"/>
    <n v="5631.1170660000007"/>
  </r>
  <r>
    <n v="50"/>
    <n v="20.033100000000001"/>
    <n v="85.001199999999997"/>
    <x v="0"/>
    <s v="NA"/>
    <n v="4"/>
    <n v="3287.38"/>
    <x v="5"/>
    <n v="3.75"/>
    <n v="11114.631780000002"/>
    <n v="10554.462228"/>
    <n v="9903.5609879999993"/>
    <n v="9229.9768260000001"/>
    <n v="8442.9780539999992"/>
    <n v="8442.9780539999992"/>
    <n v="12327.675000000001"/>
    <n v="12327.675000000001"/>
    <n v="12327.675000000001"/>
    <n v="12327.675000000001"/>
    <n v="11906.561622000001"/>
    <n v="11532.786516"/>
  </r>
  <r>
    <n v="51"/>
    <n v="20.032"/>
    <n v="85.004199999999997"/>
    <x v="0"/>
    <s v="NA"/>
    <n v="4"/>
    <n v="6680.23"/>
    <x v="5"/>
    <n v="3.75"/>
    <n v="22585.857629999999"/>
    <n v="21447.546437999998"/>
    <n v="20124.860897999999"/>
    <n v="18756.081771000001"/>
    <n v="17156.834708999999"/>
    <n v="17156.834708999999"/>
    <n v="25050.862499999999"/>
    <n v="25050.862499999999"/>
    <n v="25050.862499999999"/>
    <n v="25050.862499999999"/>
    <n v="24195.125036999998"/>
    <n v="23435.582886"/>
  </r>
  <r>
    <n v="52"/>
    <n v="20.032299999999999"/>
    <n v="85.007300000000001"/>
    <x v="0"/>
    <s v="NA"/>
    <n v="2"/>
    <n v="897.83"/>
    <x v="5"/>
    <n v="1.75"/>
    <n v="1239.9032300000001"/>
    <n v="1086.912998"/>
    <n v="909.14265799999998"/>
    <n v="725.17729099999997"/>
    <n v="510.23678900000004"/>
    <n v="510.23678900000004"/>
    <n v="1571.2025000000001"/>
    <n v="1571.2025000000001"/>
    <n v="1571.2025000000001"/>
    <n v="1571.2025000000001"/>
    <n v="1456.1904770000001"/>
    <n v="1354.1072060000001"/>
  </r>
  <r>
    <n v="53"/>
    <n v="20.030899999999999"/>
    <n v="85.012100000000004"/>
    <x v="0"/>
    <s v="NA"/>
    <n v="2.5"/>
    <n v="411.49"/>
    <x v="5"/>
    <n v="2.25"/>
    <n v="774.01269000000002"/>
    <n v="703.89479399999993"/>
    <n v="622.41977399999996"/>
    <n v="538.10547300000007"/>
    <n v="439.59476700000005"/>
    <n v="439.59476700000005"/>
    <n v="925.85249999999996"/>
    <n v="925.85249999999996"/>
    <n v="925.85249999999996"/>
    <n v="925.85249999999996"/>
    <n v="873.1406310000001"/>
    <n v="826.35421800000006"/>
  </r>
  <r>
    <n v="54"/>
    <n v="20.029900000000001"/>
    <n v="85.001999999999995"/>
    <x v="0"/>
    <s v="NA"/>
    <n v="4"/>
    <n v="801.58"/>
    <x v="5"/>
    <n v="3.75"/>
    <n v="2710.1419800000003"/>
    <n v="2573.5527480000001"/>
    <n v="2414.8399079999999"/>
    <n v="2250.5961660000003"/>
    <n v="2058.6979139999999"/>
    <n v="2058.6979139999999"/>
    <n v="3005.9250000000002"/>
    <n v="3005.9250000000002"/>
    <n v="3005.9250000000002"/>
    <n v="3005.9250000000002"/>
    <n v="2903.2426020000003"/>
    <n v="2812.1029560000002"/>
  </r>
  <r>
    <n v="55"/>
    <n v="20.003699999999998"/>
    <n v="85.000600000000006"/>
    <x v="0"/>
    <s v="NA"/>
    <n v="4"/>
    <n v="7941.09"/>
    <x v="4"/>
    <n v="3.75"/>
    <n v="26848.825290000001"/>
    <n v="25495.663553999999"/>
    <n v="23923.327733999999"/>
    <n v="22296.198393000002"/>
    <n v="20395.101446999997"/>
    <n v="20395.101446999997"/>
    <n v="29779.087500000001"/>
    <n v="29779.087500000001"/>
    <n v="29779.087500000001"/>
    <n v="29779.087500000001"/>
    <n v="28761.833871000003"/>
    <n v="27858.931938000002"/>
  </r>
  <r>
    <n v="56"/>
    <n v="20.006399999999999"/>
    <n v="84.999300000000005"/>
    <x v="0"/>
    <s v="NA"/>
    <n v="4"/>
    <n v="22864.37"/>
    <x v="4"/>
    <n v="3.75"/>
    <n v="77304.434970000002"/>
    <n v="73408.346321999998"/>
    <n v="68881.201061999993"/>
    <n v="64196.291648999999"/>
    <n v="58722.561470999994"/>
    <n v="58722.561470999994"/>
    <n v="85741.387499999997"/>
    <n v="85741.387499999997"/>
    <n v="85741.387499999997"/>
    <n v="85741.387499999997"/>
    <n v="82812.461702999994"/>
    <n v="80212.782833999998"/>
  </r>
  <r>
    <n v="57"/>
    <n v="20.0092"/>
    <n v="84.997799999999998"/>
    <x v="0"/>
    <s v="NA"/>
    <n v="4"/>
    <n v="5550.42"/>
    <x v="4"/>
    <n v="3.75"/>
    <n v="18765.970020000001"/>
    <n v="17820.178452"/>
    <n v="16721.195292"/>
    <n v="15583.914234"/>
    <n v="14255.143685999999"/>
    <n v="14255.143685999999"/>
    <n v="20814.075000000001"/>
    <n v="20814.075000000001"/>
    <n v="20814.075000000001"/>
    <n v="20814.075000000001"/>
    <n v="20103.066198"/>
    <n v="19471.983444000001"/>
  </r>
  <r>
    <n v="58"/>
    <n v="20.0108"/>
    <n v="84.998199999999997"/>
    <x v="0"/>
    <s v="NA"/>
    <n v="4"/>
    <n v="3104.21"/>
    <x v="4"/>
    <n v="3.75"/>
    <n v="10495.33401"/>
    <n v="9966.3766259999993"/>
    <n v="9351.7430459999996"/>
    <n v="8715.6904169999998"/>
    <n v="7972.5425429999996"/>
    <n v="7972.5425429999996"/>
    <n v="11640.7875"/>
    <n v="11640.7875"/>
    <n v="11640.7875"/>
    <n v="11640.7875"/>
    <n v="11243.138199000001"/>
    <n v="10890.189522000001"/>
  </r>
  <r>
    <n v="59"/>
    <n v="20.009599999999999"/>
    <n v="85.003"/>
    <x v="0"/>
    <s v="NA"/>
    <n v="4"/>
    <n v="14252.06"/>
    <x v="4"/>
    <n v="3.75"/>
    <n v="48186.21486"/>
    <n v="45757.663836"/>
    <n v="42935.755956000001"/>
    <n v="40015.508862000002"/>
    <n v="36603.565697999999"/>
    <n v="36603.565697999999"/>
    <n v="53445.224999999999"/>
    <n v="53445.224999999999"/>
    <n v="53445.224999999999"/>
    <n v="53445.224999999999"/>
    <n v="51619.536114000002"/>
    <n v="49999.076891999997"/>
  </r>
  <r>
    <n v="60"/>
    <n v="20.007400000000001"/>
    <n v="85.006600000000006"/>
    <x v="0"/>
    <s v="NA"/>
    <n v="4"/>
    <n v="3260.88"/>
    <x v="4"/>
    <n v="3.75"/>
    <n v="11025.035280000002"/>
    <n v="10469.381327999999"/>
    <n v="9823.7270879999996"/>
    <n v="9155.5727760000009"/>
    <n v="8374.9181040000003"/>
    <n v="8374.9181040000003"/>
    <n v="12228.300000000001"/>
    <n v="12228.300000000001"/>
    <n v="12228.300000000001"/>
    <n v="12228.300000000001"/>
    <n v="11810.581272000001"/>
    <n v="11439.819216"/>
  </r>
  <r>
    <n v="61"/>
    <n v="20.006399999999999"/>
    <n v="85.007800000000003"/>
    <x v="0"/>
    <s v="NA"/>
    <n v="2"/>
    <n v="461.57"/>
    <x v="4"/>
    <n v="1.75"/>
    <n v="637.42817000000002"/>
    <n v="558.77664199999992"/>
    <n v="467.38578199999995"/>
    <n v="372.810089"/>
    <n v="262.31023099999999"/>
    <n v="262.31023099999999"/>
    <n v="807.74749999999995"/>
    <n v="807.74749999999995"/>
    <n v="807.74749999999995"/>
    <n v="807.74749999999995"/>
    <n v="748.62038300000006"/>
    <n v="696.13987399999996"/>
  </r>
  <r>
    <n v="62"/>
    <n v="20.0093"/>
    <n v="85.004999999999995"/>
    <x v="0"/>
    <s v="NA"/>
    <n v="3"/>
    <n v="1879.15"/>
    <x v="4"/>
    <n v="2.75"/>
    <n v="4474.2561500000011"/>
    <n v="4154.0489900000002"/>
    <n v="3781.9772900000003"/>
    <n v="3396.9394550000002"/>
    <n v="2947.0709450000004"/>
    <n v="2947.0709450000004"/>
    <n v="5167.6625000000004"/>
    <n v="5167.6625000000004"/>
    <n v="5167.6625000000004"/>
    <n v="5167.6625000000004"/>
    <n v="4926.9433850000005"/>
    <n v="4713.2840299999998"/>
  </r>
  <r>
    <n v="63"/>
    <n v="20.011700000000001"/>
    <n v="85.005799999999994"/>
    <x v="0"/>
    <s v="NA"/>
    <n v="2"/>
    <n v="1253.43"/>
    <x v="4"/>
    <n v="1.75"/>
    <n v="1730.9868300000001"/>
    <n v="1517.402358"/>
    <n v="1269.2232180000001"/>
    <n v="1012.395411"/>
    <n v="712.32426900000007"/>
    <n v="712.32426900000007"/>
    <n v="2193.5025000000001"/>
    <n v="2193.5025000000001"/>
    <n v="2193.5025000000001"/>
    <n v="2193.5025000000001"/>
    <n v="2032.9381170000001"/>
    <n v="1890.4231260000001"/>
  </r>
  <r>
    <n v="64"/>
    <n v="20.013500000000001"/>
    <n v="85.006799999999998"/>
    <x v="0"/>
    <s v="NA"/>
    <n v="4"/>
    <n v="1850.03"/>
    <x v="4"/>
    <n v="3.75"/>
    <n v="6254.9514300000001"/>
    <n v="5939.7063179999996"/>
    <n v="5573.4003779999994"/>
    <n v="5194.3292309999997"/>
    <n v="4751.432049"/>
    <n v="4751.432049"/>
    <n v="6937.6125000000002"/>
    <n v="6937.6125000000002"/>
    <n v="6937.6125000000002"/>
    <n v="6937.6125000000002"/>
    <n v="6700.6236570000001"/>
    <n v="6490.2752460000002"/>
  </r>
  <r>
    <n v="65"/>
    <n v="20.014099999999999"/>
    <n v="85.007900000000006"/>
    <x v="0"/>
    <s v="NA"/>
    <n v="4"/>
    <n v="3917.2"/>
    <x v="4"/>
    <n v="3.75"/>
    <n v="13244.0532"/>
    <n v="12576.562319999999"/>
    <n v="11800.95672"/>
    <n v="10998.32244"/>
    <n v="10060.544759999999"/>
    <n v="10060.544759999999"/>
    <n v="14689.5"/>
    <n v="14689.5"/>
    <n v="14689.5"/>
    <n v="14689.5"/>
    <n v="14187.706679999999"/>
    <n v="13742.321039999999"/>
  </r>
  <r>
    <n v="66"/>
    <n v="20.0153"/>
    <n v="85.007800000000003"/>
    <x v="0"/>
    <s v="NA"/>
    <n v="3"/>
    <n v="631.09"/>
    <x v="4"/>
    <n v="2.75"/>
    <n v="1502.6252900000002"/>
    <n v="1395.087554"/>
    <n v="1270.1317340000001"/>
    <n v="1140.8213930000002"/>
    <n v="989.73844700000006"/>
    <n v="989.73844700000006"/>
    <n v="1735.4975000000002"/>
    <n v="1735.4975000000002"/>
    <n v="1735.4975000000002"/>
    <n v="1735.4975000000002"/>
    <n v="1654.6548710000002"/>
    <n v="1582.899938"/>
  </r>
  <r>
    <n v="67"/>
    <n v="20.013999999999999"/>
    <n v="84.998500000000007"/>
    <x v="0"/>
    <s v="NA"/>
    <n v="4"/>
    <n v="3240.89"/>
    <x v="4"/>
    <n v="3.75"/>
    <n v="10957.44909"/>
    <n v="10405.201433999999"/>
    <n v="9763.5052139999989"/>
    <n v="9099.4468529999995"/>
    <n v="8323.5777869999984"/>
    <n v="8323.5777869999984"/>
    <n v="12153.3375"/>
    <n v="12153.3375"/>
    <n v="12153.3375"/>
    <n v="12153.3375"/>
    <n v="11738.179491000001"/>
    <n v="11369.690298"/>
  </r>
  <r>
    <n v="68"/>
    <n v="20.015899999999998"/>
    <n v="84.992699999999999"/>
    <x v="0"/>
    <s v="NA"/>
    <n v="4"/>
    <n v="5788.72"/>
    <x v="4"/>
    <n v="3.75"/>
    <n v="19571.662320000003"/>
    <n v="18585.264432"/>
    <n v="17439.097872000002"/>
    <n v="16252.989144000001"/>
    <n v="14867.169576"/>
    <n v="14867.169576"/>
    <n v="21707.7"/>
    <n v="21707.7"/>
    <n v="21707.7"/>
    <n v="21707.7"/>
    <n v="20966.164968000001"/>
    <n v="20307.987504000001"/>
  </r>
  <r>
    <n v="69"/>
    <n v="20.0167"/>
    <n v="84.997600000000006"/>
    <x v="0"/>
    <s v="NA"/>
    <n v="3"/>
    <n v="1915.78"/>
    <x v="4"/>
    <n v="2.75"/>
    <n v="4561.4721800000007"/>
    <n v="4235.0232679999999"/>
    <n v="3855.698828"/>
    <n v="3463.1555060000001"/>
    <n v="3004.5177739999999"/>
    <n v="3004.5177739999999"/>
    <n v="5268.3949999999995"/>
    <n v="5268.3949999999995"/>
    <n v="5268.3949999999995"/>
    <n v="5268.3949999999995"/>
    <n v="5022.9835819999998"/>
    <n v="4805.159396"/>
  </r>
  <r>
    <n v="70"/>
    <n v="20.020800000000001"/>
    <n v="85.000100000000003"/>
    <x v="0"/>
    <s v="NA"/>
    <n v="3"/>
    <n v="2913.8"/>
    <x v="4"/>
    <n v="2.75"/>
    <n v="6937.7578000000012"/>
    <n v="6441.2462800000003"/>
    <n v="5864.3138800000006"/>
    <n v="5267.2762600000005"/>
    <n v="4569.7125400000004"/>
    <n v="4569.7125400000004"/>
    <n v="8012.9500000000007"/>
    <n v="8012.9500000000007"/>
    <n v="8012.9500000000007"/>
    <n v="8012.9500000000007"/>
    <n v="7639.6922200000008"/>
    <n v="7308.3931600000005"/>
  </r>
  <r>
    <n v="71"/>
    <n v="20.0242"/>
    <n v="85.000200000000007"/>
    <x v="0"/>
    <s v="NA"/>
    <n v="2.5"/>
    <n v="976.03"/>
    <x v="4"/>
    <n v="2.25"/>
    <n v="1835.9124299999999"/>
    <n v="1669.596918"/>
    <n v="1476.3429779999999"/>
    <n v="1276.354431"/>
    <n v="1042.692849"/>
    <n v="1042.692849"/>
    <n v="2196.0675000000001"/>
    <n v="2196.0675000000001"/>
    <n v="2196.0675000000001"/>
    <n v="2196.0675000000001"/>
    <n v="2071.0380570000002"/>
    <n v="1960.0634459999999"/>
  </r>
  <r>
    <n v="72"/>
    <n v="20.024899999999999"/>
    <n v="85.006200000000007"/>
    <x v="0"/>
    <s v="NA"/>
    <n v="3"/>
    <n v="4326.5200000000004"/>
    <x v="4"/>
    <n v="2.75"/>
    <n v="10301.444120000002"/>
    <n v="9564.2051119999996"/>
    <n v="8707.5541520000006"/>
    <n v="7821.050204000001"/>
    <n v="6785.2813160000005"/>
    <n v="6785.2813160000005"/>
    <n v="11897.93"/>
    <n v="11897.93"/>
    <n v="11897.93"/>
    <n v="11897.93"/>
    <n v="11343.702788000002"/>
    <n v="10851.777464000001"/>
  </r>
  <r>
    <n v="73"/>
    <n v="20.025099999999998"/>
    <n v="85.006900000000002"/>
    <x v="0"/>
    <s v="NA"/>
    <n v="3"/>
    <n v="3228.63"/>
    <x v="4"/>
    <n v="2.75"/>
    <n v="7687.3680300000005"/>
    <n v="7137.2094779999998"/>
    <n v="6497.9407380000002"/>
    <n v="5836.3944510000001"/>
    <n v="5063.4604290000007"/>
    <n v="5063.4604290000007"/>
    <n v="8878.7325000000001"/>
    <n v="8878.7325000000001"/>
    <n v="8878.7325000000001"/>
    <n v="8878.7325000000001"/>
    <n v="8465.1449970000012"/>
    <n v="8098.0497660000001"/>
  </r>
  <r>
    <n v="74"/>
    <n v="20.024999999999999"/>
    <n v="85.008899999999997"/>
    <x v="0"/>
    <s v="NA"/>
    <n v="3"/>
    <n v="5752.17"/>
    <x v="4"/>
    <n v="2.75"/>
    <n v="13695.916770000002"/>
    <n v="12715.747002"/>
    <n v="11576.817342"/>
    <n v="10398.197709"/>
    <n v="9021.1282110000011"/>
    <n v="9021.1282110000011"/>
    <n v="15818.467500000001"/>
    <n v="15818.467500000001"/>
    <n v="15818.467500000001"/>
    <n v="15818.467500000001"/>
    <n v="15081.614523"/>
    <n v="14427.592794"/>
  </r>
  <r>
    <n v="75"/>
    <n v="20.024100000000001"/>
    <n v="85.011399999999995"/>
    <x v="0"/>
    <s v="NA"/>
    <n v="3"/>
    <n v="3904.01"/>
    <x v="4"/>
    <n v="2.75"/>
    <n v="9295.4478100000015"/>
    <n v="8630.204506"/>
    <n v="7857.2105259999998"/>
    <n v="7057.2788770000006"/>
    <n v="6122.6588830000001"/>
    <n v="6122.6588830000001"/>
    <n v="10736.0275"/>
    <n v="10736.0275"/>
    <n v="10736.0275"/>
    <n v="10736.0275"/>
    <n v="10235.923819000001"/>
    <n v="9792.0378820000005"/>
  </r>
  <r>
    <n v="76"/>
    <n v="20.023599999999998"/>
    <n v="85.013900000000007"/>
    <x v="0"/>
    <s v="NA"/>
    <n v="2"/>
    <n v="540.79999999999995"/>
    <x v="4"/>
    <n v="1.75"/>
    <n v="746.84479999999996"/>
    <n v="654.69247999999993"/>
    <n v="547.61407999999994"/>
    <n v="436.80415999999997"/>
    <n v="307.33663999999999"/>
    <n v="307.33663999999999"/>
    <n v="946.39999999999986"/>
    <n v="946.39999999999986"/>
    <n v="946.39999999999986"/>
    <n v="946.39999999999986"/>
    <n v="877.12351999999998"/>
    <n v="815.63455999999996"/>
  </r>
  <r>
    <n v="77"/>
    <n v="20.0214"/>
    <n v="85.012900000000002"/>
    <x v="0"/>
    <s v="NA"/>
    <n v="3"/>
    <n v="5804.55"/>
    <x v="4"/>
    <n v="2.75"/>
    <n v="13820.633550000002"/>
    <n v="12831.53823"/>
    <n v="11682.23733"/>
    <n v="10492.885035000001"/>
    <n v="9103.2757650000003"/>
    <n v="9103.2757650000003"/>
    <n v="15962.512500000001"/>
    <n v="15962.512500000001"/>
    <n v="15962.512500000001"/>
    <n v="15962.512500000001"/>
    <n v="15218.949645000001"/>
    <n v="14558.972310000001"/>
  </r>
  <r>
    <n v="78"/>
    <n v="20.022099999999998"/>
    <n v="85.010199999999998"/>
    <x v="0"/>
    <s v="NA"/>
    <n v="2"/>
    <n v="1723.81"/>
    <x v="4"/>
    <n v="1.75"/>
    <n v="2380.5816099999997"/>
    <n v="2086.8443859999998"/>
    <n v="1745.530006"/>
    <n v="1392.3213369999999"/>
    <n v="979.64122299999997"/>
    <n v="979.64122299999997"/>
    <n v="3016.6675"/>
    <n v="3016.6675"/>
    <n v="3016.6675"/>
    <n v="3016.6675"/>
    <n v="2795.8474390000001"/>
    <n v="2599.850242"/>
  </r>
  <r>
    <n v="79"/>
    <n v="20.0214"/>
    <n v="85.009699999999995"/>
    <x v="0"/>
    <s v="NA"/>
    <n v="2.5"/>
    <n v="306.52999999999997"/>
    <x v="4"/>
    <n v="2.25"/>
    <n v="576.58292999999992"/>
    <n v="524.35021799999993"/>
    <n v="463.65727799999996"/>
    <n v="400.84928099999996"/>
    <n v="327.46599899999995"/>
    <n v="327.46599899999995"/>
    <n v="689.69249999999988"/>
    <n v="689.69249999999988"/>
    <n v="689.69249999999988"/>
    <n v="689.69249999999988"/>
    <n v="650.42600700000003"/>
    <n v="615.57354599999996"/>
  </r>
  <r>
    <n v="80"/>
    <n v="20.0181"/>
    <n v="85.013199999999998"/>
    <x v="0"/>
    <s v="NA"/>
    <n v="4"/>
    <n v="7981.34"/>
    <x v="4"/>
    <n v="3.75"/>
    <n v="26984.910540000001"/>
    <n v="25624.890203999999"/>
    <n v="24044.584884"/>
    <n v="22409.208318000001"/>
    <n v="20498.475522000001"/>
    <n v="20498.475522000001"/>
    <n v="29930.025000000001"/>
    <n v="29930.025000000001"/>
    <n v="29930.025000000001"/>
    <n v="29930.025000000001"/>
    <n v="28907.615346000002"/>
    <n v="28000.136988000002"/>
  </r>
  <r>
    <n v="81"/>
    <n v="20.013400000000001"/>
    <n v="85.0124"/>
    <x v="0"/>
    <s v="NA"/>
    <n v="2"/>
    <n v="449.92"/>
    <x v="4"/>
    <n v="1.75"/>
    <n v="621.33951999999999"/>
    <n v="544.67315199999996"/>
    <n v="455.58899200000002"/>
    <n v="363.40038399999997"/>
    <n v="255.68953600000003"/>
    <n v="255.68953600000003"/>
    <n v="787.36"/>
    <n v="787.36"/>
    <n v="787.36"/>
    <n v="787.36"/>
    <n v="729.72524800000008"/>
    <n v="678.569344"/>
  </r>
  <r>
    <n v="82"/>
    <n v="20.010999999999999"/>
    <n v="85.0107"/>
    <x v="0"/>
    <s v="NA"/>
    <n v="2"/>
    <n v="1438.53"/>
    <x v="4"/>
    <n v="1.75"/>
    <n v="1986.6099300000001"/>
    <n v="1741.4844179999998"/>
    <n v="1456.6554779999999"/>
    <n v="1161.9006809999998"/>
    <n v="817.51659900000004"/>
    <n v="817.51659900000004"/>
    <n v="2517.4274999999998"/>
    <n v="2517.4274999999998"/>
    <n v="2517.4274999999998"/>
    <n v="2517.4274999999998"/>
    <n v="2333.1518070000002"/>
    <n v="2169.5909459999998"/>
  </r>
  <r>
    <n v="83"/>
    <n v="20.0107"/>
    <n v="85.010400000000004"/>
    <x v="0"/>
    <s v="NA"/>
    <n v="2"/>
    <n v="4445.29"/>
    <x v="4"/>
    <n v="1.75"/>
    <n v="6138.9454900000001"/>
    <n v="5381.4680739999994"/>
    <n v="4501.3006539999997"/>
    <n v="3590.4607329999999"/>
    <n v="2526.2583070000001"/>
    <n v="2526.2583070000001"/>
    <n v="7779.2574999999997"/>
    <n v="7779.2574999999997"/>
    <n v="7779.2574999999997"/>
    <n v="7779.2574999999997"/>
    <n v="7209.8158510000003"/>
    <n v="6704.3863780000001"/>
  </r>
  <r>
    <n v="84"/>
    <n v="20.008299999999998"/>
    <n v="85.011700000000005"/>
    <x v="0"/>
    <s v="NA"/>
    <n v="4"/>
    <n v="3804.96"/>
    <x v="4"/>
    <n v="3.75"/>
    <n v="12864.56976"/>
    <n v="12216.204576"/>
    <n v="11462.822496000001"/>
    <n v="10683.186192000001"/>
    <n v="9772.2787680000001"/>
    <n v="9772.2787680000001"/>
    <n v="14268.6"/>
    <n v="14268.6"/>
    <n v="14268.6"/>
    <n v="14268.6"/>
    <n v="13781.184624000001"/>
    <n v="13348.560672"/>
  </r>
  <r>
    <n v="85"/>
    <n v="20.008299999999998"/>
    <n v="85.014899999999997"/>
    <x v="0"/>
    <s v="NA"/>
    <n v="3"/>
    <n v="1675.89"/>
    <x v="7"/>
    <n v="2.75"/>
    <n v="3990.2940900000008"/>
    <n v="3704.7224340000002"/>
    <n v="3372.8962140000003"/>
    <n v="3029.5063530000002"/>
    <n v="2628.2982870000001"/>
    <n v="2628.2982870000001"/>
    <n v="4608.6975000000002"/>
    <n v="4608.6975000000002"/>
    <n v="4608.6975000000002"/>
    <n v="4608.6975000000002"/>
    <n v="4394.0159910000002"/>
    <n v="4203.4672980000005"/>
  </r>
  <r>
    <n v="86"/>
    <n v="20.008199999999999"/>
    <n v="85.0154"/>
    <x v="0"/>
    <s v="NA"/>
    <n v="3"/>
    <n v="2260.79"/>
    <x v="7"/>
    <n v="2.75"/>
    <n v="5382.9409900000001"/>
    <n v="4997.7023739999995"/>
    <n v="4550.0659539999997"/>
    <n v="4086.8300830000003"/>
    <n v="3545.5969570000002"/>
    <n v="3545.5969570000002"/>
    <n v="6217.1724999999997"/>
    <n v="6217.1724999999997"/>
    <n v="6217.1724999999997"/>
    <n v="6217.1724999999997"/>
    <n v="5927.5653010000005"/>
    <n v="5670.5134779999998"/>
  </r>
  <r>
    <n v="87"/>
    <n v="20.0047"/>
    <n v="85.030900000000003"/>
    <x v="0"/>
    <s v="NA"/>
    <n v="3"/>
    <n v="6272.84"/>
    <x v="7"/>
    <n v="2.75"/>
    <n v="14935.632040000002"/>
    <n v="13866.740104"/>
    <n v="12624.717784"/>
    <n v="11339.412868000001"/>
    <n v="9837.6949720000011"/>
    <n v="9837.6949720000011"/>
    <n v="17250.310000000001"/>
    <n v="17250.310000000001"/>
    <n v="17250.310000000001"/>
    <n v="17250.310000000001"/>
    <n v="16446.759196000003"/>
    <n v="15733.537288"/>
  </r>
  <r>
    <n v="89"/>
    <n v="20.006399999999999"/>
    <n v="85.034999999999997"/>
    <x v="0"/>
    <s v="NA"/>
    <n v="3"/>
    <n v="6464.03"/>
    <x v="7"/>
    <n v="2.75"/>
    <n v="15390.855430000001"/>
    <n v="14289.384717999999"/>
    <n v="13009.506777999999"/>
    <n v="11685.027031"/>
    <n v="10137.538248999999"/>
    <n v="10137.538248999999"/>
    <n v="17776.0825"/>
    <n v="17776.0825"/>
    <n v="17776.0825"/>
    <n v="17776.0825"/>
    <n v="16948.040257000001"/>
    <n v="16213.080045999999"/>
  </r>
  <r>
    <n v="90"/>
    <n v="20.010999999999999"/>
    <n v="85.030199999999994"/>
    <x v="0"/>
    <s v="NA"/>
    <n v="3"/>
    <n v="5907.99"/>
    <x v="7"/>
    <n v="2.75"/>
    <n v="14066.924190000002"/>
    <n v="13060.202694"/>
    <n v="11890.420673999999"/>
    <n v="10679.873523"/>
    <n v="9265.500716999999"/>
    <n v="9265.500716999999"/>
    <n v="16246.9725"/>
    <n v="16246.9725"/>
    <n v="16246.9725"/>
    <n v="16246.9725"/>
    <n v="15490.158981"/>
    <n v="14818.420517999999"/>
  </r>
  <r>
    <n v="91"/>
    <n v="20.011700000000001"/>
    <n v="85.028999999999996"/>
    <x v="0"/>
    <s v="NA"/>
    <n v="2"/>
    <n v="614.14"/>
    <x v="7"/>
    <n v="1.75"/>
    <n v="848.12734"/>
    <n v="743.4778839999999"/>
    <n v="621.87816399999997"/>
    <n v="496.04087799999996"/>
    <n v="349.015762"/>
    <n v="349.015762"/>
    <n v="1074.7449999999999"/>
    <n v="1074.7449999999999"/>
    <n v="1074.7449999999999"/>
    <n v="1074.7449999999999"/>
    <n v="996.073666"/>
    <n v="926.245948"/>
  </r>
  <r>
    <n v="92"/>
    <n v="20.011500000000002"/>
    <n v="85.023300000000006"/>
    <x v="0"/>
    <s v="NA"/>
    <n v="4"/>
    <n v="77727.92"/>
    <x v="7"/>
    <n v="3.75"/>
    <n v="262798.09752000001"/>
    <n v="249553.25995199999"/>
    <n v="234163.131792"/>
    <n v="218236.68098400001"/>
    <n v="199628.61693599998"/>
    <n v="199628.61693599998"/>
    <n v="291479.7"/>
    <n v="291479.7"/>
    <n v="291479.7"/>
    <n v="291479.7"/>
    <n v="281522.753448"/>
    <n v="272685.08894400002"/>
  </r>
  <r>
    <n v="93"/>
    <n v="20.013999999999999"/>
    <n v="85.018199999999993"/>
    <x v="0"/>
    <s v="NA"/>
    <n v="4"/>
    <n v="9555.99"/>
    <x v="7"/>
    <n v="3.75"/>
    <n v="32308.802190000002"/>
    <n v="30680.461493999999"/>
    <n v="28788.375474"/>
    <n v="26830.353123000001"/>
    <n v="24542.649116999997"/>
    <n v="24542.649116999997"/>
    <n v="35834.962500000001"/>
    <n v="35834.962500000001"/>
    <n v="35834.962500000001"/>
    <n v="35834.962500000001"/>
    <n v="34610.840181"/>
    <n v="33524.324117999997"/>
  </r>
  <r>
    <n v="94"/>
    <n v="20.013300000000001"/>
    <n v="85.025000000000006"/>
    <x v="0"/>
    <s v="NA"/>
    <n v="4"/>
    <n v="18541.63"/>
    <x v="7"/>
    <n v="3.75"/>
    <n v="62689.251030000007"/>
    <n v="59529.757278000005"/>
    <n v="55858.514538000003"/>
    <n v="52059.334551000007"/>
    <n v="47620.468328999996"/>
    <n v="47620.468328999996"/>
    <n v="69531.112500000003"/>
    <n v="69531.112500000003"/>
    <n v="69531.112500000003"/>
    <n v="69531.112500000003"/>
    <n v="67155.929697"/>
    <n v="65047.746366000007"/>
  </r>
  <r>
    <n v="95"/>
    <n v="20.012599999999999"/>
    <n v="85.0274"/>
    <x v="0"/>
    <s v="NA"/>
    <n v="3"/>
    <n v="9692.23"/>
    <x v="7"/>
    <n v="2.75"/>
    <n v="23077.199630000003"/>
    <n v="21425.643637999998"/>
    <n v="19506.582097999999"/>
    <n v="17520.644171"/>
    <n v="15200.324309"/>
    <n v="15200.324309"/>
    <n v="26653.6325"/>
    <n v="26653.6325"/>
    <n v="26653.6325"/>
    <n v="26653.6325"/>
    <n v="25412.057837"/>
    <n v="24310.051285999998"/>
  </r>
  <r>
    <n v="96"/>
    <n v="20.013400000000001"/>
    <n v="85.023499999999999"/>
    <x v="0"/>
    <s v="NA"/>
    <n v="3"/>
    <n v="6920.4"/>
    <x v="7"/>
    <n v="2.75"/>
    <n v="16477.472400000002"/>
    <n v="15298.236239999998"/>
    <n v="13927.997039999998"/>
    <n v="12510.007079999999"/>
    <n v="10853.26332"/>
    <n v="10853.26332"/>
    <n v="19031.099999999999"/>
    <n v="19031.099999999999"/>
    <n v="19031.099999999999"/>
    <n v="19031.099999999999"/>
    <n v="18144.59676"/>
    <n v="17357.74728"/>
  </r>
  <r>
    <n v="97"/>
    <n v="20.0151"/>
    <n v="85.025300000000001"/>
    <x v="0"/>
    <s v="NA"/>
    <n v="3"/>
    <n v="431.47"/>
    <x v="7"/>
    <n v="2.75"/>
    <n v="1027.3300700000002"/>
    <n v="953.80758200000002"/>
    <n v="868.37652200000002"/>
    <n v="779.96831900000006"/>
    <n v="676.6744010000001"/>
    <n v="676.6744010000001"/>
    <n v="1186.5425"/>
    <n v="1186.5425"/>
    <n v="1186.5425"/>
    <n v="1186.5425"/>
    <n v="1131.271193"/>
    <n v="1082.2130540000001"/>
  </r>
  <r>
    <n v="98"/>
    <n v="20.0167"/>
    <n v="85.024900000000002"/>
    <x v="0"/>
    <s v="NA"/>
    <n v="4"/>
    <n v="1313.77"/>
    <x v="7"/>
    <n v="3.75"/>
    <n v="4441.8563700000004"/>
    <n v="4217.9899619999997"/>
    <n v="3957.8635019999997"/>
    <n v="3688.6720289999998"/>
    <n v="3374.1554909999995"/>
    <n v="3374.1554909999995"/>
    <n v="4926.6374999999998"/>
    <n v="4926.6374999999998"/>
    <n v="4926.6374999999998"/>
    <n v="4926.6374999999998"/>
    <n v="4758.3435630000004"/>
    <n v="4608.9679139999998"/>
  </r>
  <r>
    <n v="99"/>
    <n v="20.018699999999999"/>
    <n v="85.022800000000004"/>
    <x v="0"/>
    <s v="NA"/>
    <n v="4"/>
    <n v="8623.17"/>
    <x v="7"/>
    <n v="3.75"/>
    <n v="29154.93777"/>
    <n v="27685.549601999999"/>
    <n v="25978.161941999999"/>
    <n v="24211.274409000001"/>
    <n v="22146.887510999997"/>
    <n v="22146.887510999997"/>
    <n v="32336.887500000001"/>
    <n v="32336.887500000001"/>
    <n v="32336.887500000001"/>
    <n v="32336.887500000001"/>
    <n v="31232.259423"/>
    <n v="30251.804994000002"/>
  </r>
  <r>
    <n v="100"/>
    <n v="20.0183"/>
    <n v="85.026399999999995"/>
    <x v="0"/>
    <s v="NA"/>
    <n v="3"/>
    <n v="1037.19"/>
    <x v="7"/>
    <n v="2.75"/>
    <n v="2469.5493900000006"/>
    <n v="2292.812214"/>
    <n v="2087.448594"/>
    <n v="1874.9283630000002"/>
    <n v="1626.6250770000001"/>
    <n v="1626.6250770000001"/>
    <n v="2852.2725"/>
    <n v="2852.2725"/>
    <n v="2852.2725"/>
    <n v="2852.2725"/>
    <n v="2719.4084610000004"/>
    <n v="2601.4799579999999"/>
  </r>
  <r>
    <n v="101"/>
    <n v="20.017299999999999"/>
    <n v="85.028099999999995"/>
    <x v="0"/>
    <s v="NA"/>
    <n v="4"/>
    <n v="10683.82"/>
    <x v="7"/>
    <n v="3.75"/>
    <n v="36121.995419999999"/>
    <n v="34301.472492000001"/>
    <n v="32186.076131999998"/>
    <n v="29996.961414000001"/>
    <n v="27439.254905999998"/>
    <n v="27439.254905999998"/>
    <n v="40064.324999999997"/>
    <n v="40064.324999999997"/>
    <n v="40064.324999999997"/>
    <n v="40064.324999999997"/>
    <n v="38695.727658000003"/>
    <n v="37480.977323999999"/>
  </r>
  <r>
    <n v="102"/>
    <n v="20.015799999999999"/>
    <n v="85.029200000000003"/>
    <x v="0"/>
    <s v="NA"/>
    <n v="4"/>
    <n v="6495.81"/>
    <x v="7"/>
    <n v="3.75"/>
    <n v="21962.333610000001"/>
    <n v="20855.447586000002"/>
    <n v="19569.277206000002"/>
    <n v="18238.285737000002"/>
    <n v="16683.188823"/>
    <n v="16683.188823"/>
    <n v="24359.287500000002"/>
    <n v="24359.287500000002"/>
    <n v="24359.287500000002"/>
    <n v="24359.287500000002"/>
    <n v="23527.174239000004"/>
    <n v="22788.600642000001"/>
  </r>
  <r>
    <n v="103"/>
    <n v="20.016300000000001"/>
    <n v="85.029499999999999"/>
    <x v="0"/>
    <s v="NA"/>
    <n v="4"/>
    <n v="2316.37"/>
    <x v="7"/>
    <n v="3.75"/>
    <n v="7831.6469699999998"/>
    <n v="7436.9375219999993"/>
    <n v="6978.2962619999998"/>
    <n v="6503.6720489999998"/>
    <n v="5949.1330709999993"/>
    <n v="5949.1330709999993"/>
    <n v="8686.3874999999989"/>
    <n v="8686.3874999999989"/>
    <n v="8686.3874999999989"/>
    <n v="8686.3874999999989"/>
    <n v="8389.6605029999992"/>
    <n v="8126.2892339999999"/>
  </r>
  <r>
    <n v="104"/>
    <n v="20.014099999999999"/>
    <n v="85.03"/>
    <x v="0"/>
    <s v="NA"/>
    <n v="2"/>
    <n v="882.12"/>
    <x v="7"/>
    <n v="1.75"/>
    <n v="1218.2077200000001"/>
    <n v="1067.894472"/>
    <n v="893.23471199999994"/>
    <n v="712.48832400000003"/>
    <n v="501.30879600000003"/>
    <n v="501.30879600000003"/>
    <n v="1543.71"/>
    <n v="1543.71"/>
    <n v="1543.71"/>
    <n v="1543.71"/>
    <n v="1430.7104280000001"/>
    <n v="1330.413384"/>
  </r>
  <r>
    <n v="105"/>
    <n v="20.0154"/>
    <n v="85.032799999999995"/>
    <x v="0"/>
    <s v="NA"/>
    <n v="4"/>
    <n v="20631.64"/>
    <x v="7"/>
    <n v="3.75"/>
    <n v="69755.574840000001"/>
    <n v="66239.943383999998"/>
    <n v="62154.878663999996"/>
    <n v="57927.455628000003"/>
    <n v="52988.241011999991"/>
    <n v="52988.241011999991"/>
    <n v="77368.649999999994"/>
    <n v="77368.649999999994"/>
    <n v="77368.649999999994"/>
    <n v="77368.649999999994"/>
    <n v="74725.736915999994"/>
    <n v="72379.919448000001"/>
  </r>
  <r>
    <n v="106"/>
    <n v="20.017199999999999"/>
    <n v="85.038799999999995"/>
    <x v="0"/>
    <s v="NA"/>
    <n v="4"/>
    <n v="9289.52"/>
    <x v="7"/>
    <n v="3.75"/>
    <n v="31407.867120000003"/>
    <n v="29824.932912"/>
    <n v="27985.607952000002"/>
    <n v="26082.185304000002"/>
    <n v="23858.274215999998"/>
    <n v="23858.274215999998"/>
    <n v="34835.700000000004"/>
    <n v="34835.700000000004"/>
    <n v="34835.700000000004"/>
    <n v="34835.700000000004"/>
    <n v="33645.712488000005"/>
    <n v="32589.494064000002"/>
  </r>
  <r>
    <n v="107"/>
    <n v="20.019500000000001"/>
    <n v="85.043700000000001"/>
    <x v="0"/>
    <s v="NA"/>
    <n v="4"/>
    <n v="11403.69"/>
    <x v="7"/>
    <n v="3.75"/>
    <n v="38555.875890000003"/>
    <n v="36612.687114"/>
    <n v="34354.756494000001"/>
    <n v="32018.140413000001"/>
    <n v="29288.097027"/>
    <n v="29288.097027"/>
    <n v="42763.837500000001"/>
    <n v="42763.837500000001"/>
    <n v="42763.837500000001"/>
    <n v="42763.837500000001"/>
    <n v="41303.024811000003"/>
    <n v="40006.425258000003"/>
  </r>
  <r>
    <n v="108"/>
    <n v="20.0184"/>
    <n v="85.043000000000006"/>
    <x v="0"/>
    <s v="NA"/>
    <n v="2"/>
    <n v="1136.1400000000001"/>
    <x v="7"/>
    <n v="1.75"/>
    <n v="1569.0093400000001"/>
    <n v="1375.4110840000001"/>
    <n v="1150.4553640000001"/>
    <n v="917.66027800000006"/>
    <n v="645.66836200000012"/>
    <n v="645.66836200000012"/>
    <n v="1988.2450000000001"/>
    <n v="1988.2450000000001"/>
    <n v="1988.2450000000001"/>
    <n v="1988.2450000000001"/>
    <n v="1842.7054660000003"/>
    <n v="1713.5263480000001"/>
  </r>
  <r>
    <n v="109"/>
    <n v="20.026499999999999"/>
    <n v="85.046300000000002"/>
    <x v="0"/>
    <s v="NA"/>
    <n v="2.5"/>
    <n v="1994.34"/>
    <x v="7"/>
    <n v="2.25"/>
    <n v="3751.3535400000001"/>
    <n v="3411.5180039999996"/>
    <n v="3016.6386839999996"/>
    <n v="2607.9984180000001"/>
    <n v="2130.553422"/>
    <n v="2130.553422"/>
    <n v="4487.2649999999994"/>
    <n v="4487.2649999999994"/>
    <n v="4487.2649999999994"/>
    <n v="4487.2649999999994"/>
    <n v="4231.7900460000001"/>
    <n v="4005.0335879999998"/>
  </r>
  <r>
    <n v="110"/>
    <n v="20.028500000000001"/>
    <n v="85.047200000000004"/>
    <x v="0"/>
    <s v="NA"/>
    <n v="3"/>
    <n v="1414.12"/>
    <x v="7"/>
    <n v="2.75"/>
    <n v="3367.0197200000002"/>
    <n v="3126.0536719999996"/>
    <n v="2846.0579119999998"/>
    <n v="2556.3047240000001"/>
    <n v="2217.764396"/>
    <n v="2217.764396"/>
    <n v="3888.83"/>
    <n v="3888.83"/>
    <n v="3888.83"/>
    <n v="3888.83"/>
    <n v="3707.6812279999999"/>
    <n v="3546.8957839999998"/>
  </r>
  <r>
    <n v="111"/>
    <n v="20.0307"/>
    <n v="85.044899999999998"/>
    <x v="0"/>
    <s v="NA"/>
    <n v="2"/>
    <n v="564.21"/>
    <x v="7"/>
    <n v="1.75"/>
    <n v="779.17401000000007"/>
    <n v="683.03262599999994"/>
    <n v="571.31904599999996"/>
    <n v="455.71241700000002"/>
    <n v="320.64054300000004"/>
    <n v="320.64054300000004"/>
    <n v="987.36750000000006"/>
    <n v="987.36750000000006"/>
    <n v="987.36750000000006"/>
    <n v="987.36750000000006"/>
    <n v="915.09219900000016"/>
    <n v="850.94152200000008"/>
  </r>
  <r>
    <n v="112"/>
    <n v="20.022400000000001"/>
    <n v="85.020099999999999"/>
    <x v="0"/>
    <s v="NA"/>
    <n v="4"/>
    <n v="5738.72"/>
    <x v="7"/>
    <n v="3.75"/>
    <n v="19402.612320000004"/>
    <n v="18424.734432000001"/>
    <n v="17288.467872000001"/>
    <n v="16112.604144000001"/>
    <n v="14738.754575999999"/>
    <n v="14738.754575999999"/>
    <n v="21520.2"/>
    <n v="21520.2"/>
    <n v="21520.2"/>
    <n v="21520.2"/>
    <n v="20785.069968"/>
    <n v="20132.577504000001"/>
  </r>
  <r>
    <n v="113"/>
    <n v="20.027799999999999"/>
    <n v="85.0227"/>
    <x v="0"/>
    <s v="NA"/>
    <n v="4"/>
    <n v="3601.39"/>
    <x v="7"/>
    <n v="3.75"/>
    <n v="12176.299590000001"/>
    <n v="11562.622733999999"/>
    <n v="10849.547514"/>
    <n v="10111.622702999999"/>
    <n v="9249.4499369999994"/>
    <n v="9249.4499369999994"/>
    <n v="13505.2125"/>
    <n v="13505.2125"/>
    <n v="13505.2125"/>
    <n v="13505.2125"/>
    <n v="13043.874441"/>
    <n v="12634.396397999999"/>
  </r>
  <r>
    <n v="114"/>
    <n v="20.028500000000001"/>
    <n v="85.032799999999995"/>
    <x v="0"/>
    <s v="NA"/>
    <n v="3"/>
    <n v="5195.3999999999996"/>
    <x v="7"/>
    <n v="2.75"/>
    <n v="12370.2474"/>
    <n v="11484.951239999999"/>
    <n v="10456.26204"/>
    <n v="9391.7245800000001"/>
    <n v="8147.9458199999999"/>
    <n v="8147.9458199999999"/>
    <n v="14287.349999999999"/>
    <n v="14287.349999999999"/>
    <n v="14287.349999999999"/>
    <n v="14287.349999999999"/>
    <n v="13621.81926"/>
    <n v="13031.102279999999"/>
  </r>
  <r>
    <n v="115"/>
    <n v="20.030200000000001"/>
    <n v="85.030299999999997"/>
    <x v="0"/>
    <s v="NA"/>
    <n v="3"/>
    <n v="6535.07"/>
    <x v="7"/>
    <n v="2.75"/>
    <n v="15560.001670000001"/>
    <n v="14446.425741999999"/>
    <n v="13152.481881999998"/>
    <n v="11813.446039"/>
    <n v="10248.950280999999"/>
    <n v="10248.950280999999"/>
    <n v="17971.442499999997"/>
    <n v="17971.442499999997"/>
    <n v="17971.442499999997"/>
    <n v="17971.442499999997"/>
    <n v="17134.300033"/>
    <n v="16391.262574"/>
  </r>
  <r>
    <n v="116"/>
    <n v="20.034600000000001"/>
    <n v="85.026200000000003"/>
    <x v="0"/>
    <s v="NA"/>
    <n v="2"/>
    <n v="751.75"/>
    <x v="3"/>
    <n v="1.75"/>
    <n v="1038.1667500000001"/>
    <n v="910.06854999999996"/>
    <n v="761.22204999999997"/>
    <n v="607.18847499999993"/>
    <n v="427.21952500000003"/>
    <n v="427.21952500000003"/>
    <n v="1315.5625"/>
    <n v="1315.5625"/>
    <n v="1315.5625"/>
    <n v="1315.5625"/>
    <n v="1219.2633250000001"/>
    <n v="1133.78935"/>
  </r>
  <r>
    <n v="117"/>
    <n v="20.034400000000002"/>
    <n v="85.027100000000004"/>
    <x v="0"/>
    <s v="NA"/>
    <n v="2"/>
    <n v="672.04"/>
    <x v="3"/>
    <n v="1.75"/>
    <n v="928.08723999999995"/>
    <n v="813.57162399999993"/>
    <n v="680.50770399999988"/>
    <n v="542.80670799999996"/>
    <n v="381.92033199999997"/>
    <n v="381.92033199999997"/>
    <n v="1176.07"/>
    <n v="1176.07"/>
    <n v="1176.07"/>
    <n v="1176.07"/>
    <n v="1089.9816760000001"/>
    <n v="1013.5707279999999"/>
  </r>
  <r>
    <n v="118"/>
    <n v="20.034099999999999"/>
    <n v="85.027100000000004"/>
    <x v="0"/>
    <s v="NA"/>
    <n v="2"/>
    <n v="723.42"/>
    <x v="3"/>
    <n v="1.75"/>
    <n v="999.04301999999996"/>
    <n v="875.77225199999987"/>
    <n v="732.53509199999996"/>
    <n v="584.30633399999999"/>
    <n v="411.11958599999997"/>
    <n v="411.11958599999997"/>
    <n v="1265.9849999999999"/>
    <n v="1265.9849999999999"/>
    <n v="1265.9849999999999"/>
    <n v="1265.9849999999999"/>
    <n v="1173.3148980000001"/>
    <n v="1091.062044"/>
  </r>
  <r>
    <n v="119"/>
    <n v="20.033999999999999"/>
    <n v="85.027699999999996"/>
    <x v="0"/>
    <s v="NA"/>
    <n v="2"/>
    <n v="782.1"/>
    <x v="3"/>
    <n v="1.75"/>
    <n v="1080.0801000000001"/>
    <n v="946.81025999999997"/>
    <n v="791.95445999999993"/>
    <n v="631.70217000000002"/>
    <n v="444.46743000000004"/>
    <n v="444.46743000000004"/>
    <n v="1368.675"/>
    <n v="1368.675"/>
    <n v="1368.675"/>
    <n v="1368.675"/>
    <n v="1268.4879900000001"/>
    <n v="1179.56322"/>
  </r>
  <r>
    <n v="120"/>
    <n v="20.033200000000001"/>
    <n v="85.026499999999999"/>
    <x v="0"/>
    <s v="NA"/>
    <n v="2"/>
    <n v="233.98"/>
    <x v="3"/>
    <n v="1.75"/>
    <n v="323.12637999999998"/>
    <n v="283.25618799999995"/>
    <n v="236.92814799999996"/>
    <n v="188.98564599999997"/>
    <n v="132.970834"/>
    <n v="132.970834"/>
    <n v="409.46499999999997"/>
    <n v="409.46499999999997"/>
    <n v="409.46499999999997"/>
    <n v="409.46499999999997"/>
    <n v="379.49216200000001"/>
    <n v="352.88863599999996"/>
  </r>
  <r>
    <n v="121"/>
    <n v="20.035799999999998"/>
    <n v="85.028400000000005"/>
    <x v="0"/>
    <s v="NA"/>
    <n v="3"/>
    <n v="6548.83"/>
    <x v="3"/>
    <n v="2.75"/>
    <n v="15592.764230000001"/>
    <n v="14476.843597999999"/>
    <n v="13180.175257999999"/>
    <n v="11838.319991"/>
    <n v="10270.530089"/>
    <n v="10270.530089"/>
    <n v="18009.282500000001"/>
    <n v="18009.282500000001"/>
    <n v="18009.282500000001"/>
    <n v="18009.282500000001"/>
    <n v="17170.377377000001"/>
    <n v="16425.775406000001"/>
  </r>
  <r>
    <n v="122"/>
    <n v="20.037099999999999"/>
    <n v="85.028899999999993"/>
    <x v="0"/>
    <s v="NA"/>
    <n v="4"/>
    <n v="11664.96"/>
    <x v="3"/>
    <n v="3.75"/>
    <n v="39439.229760000002"/>
    <n v="37451.520575999995"/>
    <n v="35141.858495999993"/>
    <n v="32751.708191999998"/>
    <n v="29959.116767999996"/>
    <n v="29959.116767999996"/>
    <n v="43743.6"/>
    <n v="43743.6"/>
    <n v="43743.6"/>
    <n v="43743.6"/>
    <n v="42249.318624"/>
    <n v="40923.012671999997"/>
  </r>
  <r>
    <n v="123"/>
    <n v="20.039000000000001"/>
    <n v="85.031700000000001"/>
    <x v="0"/>
    <s v="NA"/>
    <n v="3"/>
    <n v="1530.71"/>
    <x v="3"/>
    <n v="2.75"/>
    <n v="3644.6205100000006"/>
    <n v="3383.7875260000001"/>
    <n v="3080.7069459999998"/>
    <n v="2767.0644670000001"/>
    <n v="2400.6124930000001"/>
    <n v="2400.6124930000001"/>
    <n v="4209.4525000000003"/>
    <n v="4209.4525000000003"/>
    <n v="4209.4525000000003"/>
    <n v="4209.4525000000003"/>
    <n v="4013.3685490000003"/>
    <n v="3839.326822"/>
  </r>
  <r>
    <n v="124"/>
    <n v="20.039400000000001"/>
    <n v="85.033100000000005"/>
    <x v="0"/>
    <s v="NA"/>
    <n v="2"/>
    <n v="687.95"/>
    <x v="3"/>
    <n v="1.75"/>
    <n v="950.0589500000001"/>
    <n v="832.83226999999999"/>
    <n v="696.61816999999996"/>
    <n v="555.65721500000006"/>
    <n v="390.96198500000003"/>
    <n v="390.96198500000003"/>
    <n v="1203.9125000000001"/>
    <n v="1203.9125000000001"/>
    <n v="1203.9125000000001"/>
    <n v="1203.9125000000001"/>
    <n v="1115.7861050000001"/>
    <n v="1037.56619"/>
  </r>
  <r>
    <n v="125"/>
    <n v="20.039400000000001"/>
    <n v="85.033900000000003"/>
    <x v="0"/>
    <s v="NA"/>
    <n v="3"/>
    <n v="1097.48"/>
    <x v="3"/>
    <n v="2.75"/>
    <n v="2613.0998800000002"/>
    <n v="2426.0892880000001"/>
    <n v="2208.7882479999998"/>
    <n v="1983.9145960000001"/>
    <n v="1721.1778839999999"/>
    <n v="1721.1778839999999"/>
    <n v="3018.07"/>
    <n v="3018.07"/>
    <n v="3018.07"/>
    <n v="3018.07"/>
    <n v="2877.4828120000002"/>
    <n v="2752.6993360000001"/>
  </r>
  <r>
    <n v="126"/>
    <n v="20.0413"/>
    <n v="85.033600000000007"/>
    <x v="0"/>
    <s v="NA"/>
    <n v="3.5"/>
    <n v="7023.03"/>
    <x v="3"/>
    <n v="3.25"/>
    <n v="20233.349430000002"/>
    <n v="19036.625118"/>
    <n v="17646.065178000001"/>
    <n v="16207.046331"/>
    <n v="14525.732948999997"/>
    <n v="14525.732948999997"/>
    <n v="22824.8475"/>
    <n v="22824.8475"/>
    <n v="22824.8475"/>
    <n v="22824.8475"/>
    <n v="21925.197357000001"/>
    <n v="21126.678845999999"/>
  </r>
  <r>
    <n v="127"/>
    <n v="20.039100000000001"/>
    <n v="85.037800000000004"/>
    <x v="0"/>
    <s v="NA"/>
    <n v="4"/>
    <n v="3643.06"/>
    <x v="3"/>
    <n v="3.75"/>
    <n v="12317.185860000001"/>
    <n v="11696.408436"/>
    <n v="10975.082555999999"/>
    <n v="10228.619562"/>
    <n v="9356.4709979999989"/>
    <n v="9356.4709979999989"/>
    <n v="13661.475"/>
    <n v="13661.475"/>
    <n v="13661.475"/>
    <n v="13661.475"/>
    <n v="13194.799014"/>
    <n v="12780.583091999999"/>
  </r>
  <r>
    <n v="128"/>
    <n v="20.037500000000001"/>
    <n v="85.022599999999997"/>
    <x v="0"/>
    <s v="NA"/>
    <n v="2.5"/>
    <n v="6360.99"/>
    <x v="3"/>
    <n v="2.25"/>
    <n v="11965.02219"/>
    <n v="10881.109493999998"/>
    <n v="9621.6334740000002"/>
    <n v="8318.2666229999995"/>
    <n v="6795.4456170000003"/>
    <n v="6795.4456170000003"/>
    <n v="14312.227499999999"/>
    <n v="14312.227499999999"/>
    <n v="14312.227499999999"/>
    <n v="14312.227499999999"/>
    <n v="13497.384681"/>
    <n v="12774.140117999999"/>
  </r>
  <r>
    <n v="129"/>
    <n v="20.039000000000001"/>
    <n v="85.020200000000003"/>
    <x v="0"/>
    <s v="NA"/>
    <n v="2.5"/>
    <n v="3765.54"/>
    <x v="3"/>
    <n v="2.25"/>
    <n v="7082.98074"/>
    <n v="6441.3327239999999"/>
    <n v="5695.7558039999994"/>
    <n v="4924.1966579999998"/>
    <n v="4022.7263820000003"/>
    <n v="4022.7263820000003"/>
    <n v="8472.4650000000001"/>
    <n v="8472.4650000000001"/>
    <n v="8472.4650000000001"/>
    <n v="8472.4650000000001"/>
    <n v="7990.0993260000005"/>
    <n v="7561.9574279999997"/>
  </r>
  <r>
    <n v="130"/>
    <n v="20.043299999999999"/>
    <n v="85.0214"/>
    <x v="0"/>
    <s v="NA"/>
    <n v="2"/>
    <n v="5853.1"/>
    <x v="3"/>
    <n v="1.75"/>
    <n v="8083.1311000000005"/>
    <n v="7085.7628599999998"/>
    <n v="5926.8490600000005"/>
    <n v="4727.5488700000005"/>
    <n v="3326.3167300000005"/>
    <n v="3326.3167300000005"/>
    <n v="10242.925000000001"/>
    <n v="10242.925000000001"/>
    <n v="10242.925000000001"/>
    <n v="10242.925000000001"/>
    <n v="9493.142890000001"/>
    <n v="8827.6454200000007"/>
  </r>
  <r>
    <n v="131"/>
    <n v="20.0456"/>
    <n v="85.0227"/>
    <x v="0"/>
    <s v="NA"/>
    <n v="3"/>
    <n v="4815.83"/>
    <x v="3"/>
    <n v="2.75"/>
    <n v="11466.491230000001"/>
    <n v="10645.873797999999"/>
    <n v="9692.3394580000004"/>
    <n v="8705.5758910000004"/>
    <n v="7552.6661889999996"/>
    <n v="7552.6661889999996"/>
    <n v="13243.532499999999"/>
    <n v="13243.532499999999"/>
    <n v="13243.532499999999"/>
    <n v="13243.532499999999"/>
    <n v="12626.624677"/>
    <n v="12079.064806"/>
  </r>
  <r>
    <n v="132"/>
    <n v="20.048100000000002"/>
    <n v="85.022499999999994"/>
    <x v="0"/>
    <s v="NA"/>
    <n v="4"/>
    <n v="5942.48"/>
    <x v="3"/>
    <n v="3.75"/>
    <n v="20091.524880000001"/>
    <n v="19078.926287999999"/>
    <n v="17902.315247999999"/>
    <n v="16684.701096000001"/>
    <n v="15262.071383999997"/>
    <n v="15262.071383999997"/>
    <n v="22284.3"/>
    <n v="22284.3"/>
    <n v="22284.3"/>
    <n v="22284.3"/>
    <n v="21523.068311999999"/>
    <n v="20847.408335999997"/>
  </r>
  <r>
    <n v="133"/>
    <n v="20.0486"/>
    <n v="85.021100000000004"/>
    <x v="0"/>
    <s v="NA"/>
    <n v="2"/>
    <n v="1431.83"/>
    <x v="3"/>
    <n v="1.75"/>
    <n v="1977.3572299999998"/>
    <n v="1733.3733979999997"/>
    <n v="1449.8710579999999"/>
    <n v="1156.4890909999999"/>
    <n v="813.70898899999997"/>
    <n v="813.70898899999997"/>
    <n v="2505.7024999999999"/>
    <n v="2505.7024999999999"/>
    <n v="2505.7024999999999"/>
    <n v="2505.7024999999999"/>
    <n v="2322.285077"/>
    <n v="2159.4860060000001"/>
  </r>
  <r>
    <n v="134"/>
    <n v="20.0487"/>
    <n v="85.0214"/>
    <x v="0"/>
    <s v="NA"/>
    <n v="2"/>
    <n v="743.13"/>
    <x v="3"/>
    <n v="1.75"/>
    <n v="1026.26253"/>
    <n v="899.63317799999993"/>
    <n v="752.49343799999997"/>
    <n v="600.22610099999997"/>
    <n v="422.32077900000002"/>
    <n v="422.32077900000002"/>
    <n v="1300.4775"/>
    <n v="1300.4775"/>
    <n v="1300.4775"/>
    <n v="1300.4775"/>
    <n v="1205.282547"/>
    <n v="1120.7886659999999"/>
  </r>
  <r>
    <n v="135"/>
    <n v="20.0487"/>
    <n v="85.022599999999997"/>
    <x v="0"/>
    <s v="NA"/>
    <n v="2"/>
    <n v="539.77"/>
    <x v="3"/>
    <n v="1.75"/>
    <n v="745.42237"/>
    <n v="653.44556199999988"/>
    <n v="546.571102"/>
    <n v="435.97222899999997"/>
    <n v="306.75129099999998"/>
    <n v="306.75129099999998"/>
    <n v="944.59749999999997"/>
    <n v="944.59749999999997"/>
    <n v="944.59749999999997"/>
    <n v="944.59749999999997"/>
    <n v="875.45296300000007"/>
    <n v="814.08111399999996"/>
  </r>
  <r>
    <n v="136"/>
    <n v="20.051400000000001"/>
    <n v="85.021699999999996"/>
    <x v="0"/>
    <s v="NA"/>
    <n v="2"/>
    <n v="1429.34"/>
    <x v="3"/>
    <n v="1.75"/>
    <n v="1973.9185399999999"/>
    <n v="1730.3590039999997"/>
    <n v="1447.3496839999998"/>
    <n v="1154.4779179999998"/>
    <n v="812.29392199999995"/>
    <n v="812.29392199999995"/>
    <n v="2501.3449999999998"/>
    <n v="2501.3449999999998"/>
    <n v="2501.3449999999998"/>
    <n v="2501.3449999999998"/>
    <n v="2318.2465459999999"/>
    <n v="2155.7305879999999"/>
  </r>
  <r>
    <n v="137"/>
    <n v="20.052099999999999"/>
    <n v="85.023300000000006"/>
    <x v="0"/>
    <s v="NA"/>
    <n v="4"/>
    <n v="3732.57"/>
    <x v="3"/>
    <n v="3.75"/>
    <n v="12619.819170000001"/>
    <n v="11983.789242000001"/>
    <n v="11244.740382"/>
    <n v="10479.936789000001"/>
    <n v="9586.3595310000001"/>
    <n v="9586.3595310000001"/>
    <n v="13997.137500000001"/>
    <n v="13997.137500000001"/>
    <n v="13997.137500000001"/>
    <n v="13997.137500000001"/>
    <n v="13518.995283"/>
    <n v="13094.602074"/>
  </r>
  <r>
    <n v="138"/>
    <n v="20.0471"/>
    <n v="85.027299999999997"/>
    <x v="0"/>
    <s v="NA"/>
    <n v="4"/>
    <n v="63936.160000000003"/>
    <x v="3"/>
    <n v="3.75"/>
    <n v="216168.15696000002"/>
    <n v="205273.43529600001"/>
    <n v="192614.07561600002"/>
    <n v="179513.55643200001"/>
    <n v="164207.23972799999"/>
    <n v="164207.23972799999"/>
    <n v="239760.6"/>
    <n v="239760.6"/>
    <n v="239760.6"/>
    <n v="239760.6"/>
    <n v="231570.37790400002"/>
    <n v="224300.83651200001"/>
  </r>
  <r>
    <n v="139"/>
    <n v="20.0456"/>
    <n v="85.028999999999996"/>
    <x v="0"/>
    <s v="NA"/>
    <n v="3"/>
    <n v="3257.27"/>
    <x v="3"/>
    <n v="2.75"/>
    <n v="7755.559870000001"/>
    <n v="7200.5210619999998"/>
    <n v="6555.5816020000002"/>
    <n v="5888.1669790000005"/>
    <n v="5108.3765409999996"/>
    <n v="5108.3765409999996"/>
    <n v="8957.4925000000003"/>
    <n v="8957.4925000000003"/>
    <n v="8957.4925000000003"/>
    <n v="8957.4925000000003"/>
    <n v="8540.2362130000001"/>
    <n v="8169.8846139999996"/>
  </r>
  <r>
    <n v="140"/>
    <n v="20.048300000000001"/>
    <n v="85.029899999999998"/>
    <x v="0"/>
    <s v="NA"/>
    <n v="2"/>
    <n v="1189.6199999999999"/>
    <x v="3"/>
    <n v="1.75"/>
    <n v="1642.8652199999999"/>
    <n v="1440.1539719999998"/>
    <n v="1204.6092119999998"/>
    <n v="960.85607399999992"/>
    <n v="676.06104599999992"/>
    <n v="676.06104599999992"/>
    <n v="2081.835"/>
    <n v="2081.835"/>
    <n v="2081.835"/>
    <n v="2081.835"/>
    <n v="1929.4446780000001"/>
    <n v="1794.1848839999998"/>
  </r>
  <r>
    <n v="141"/>
    <n v="20.056100000000001"/>
    <n v="85.026600000000002"/>
    <x v="0"/>
    <s v="NA"/>
    <n v="2"/>
    <n v="783.64"/>
    <x v="3"/>
    <n v="1.75"/>
    <n v="1082.2068400000001"/>
    <n v="948.67458399999987"/>
    <n v="793.5138639999999"/>
    <n v="632.94602799999996"/>
    <n v="445.34261200000003"/>
    <n v="445.34261200000003"/>
    <n v="1371.37"/>
    <n v="1371.37"/>
    <n v="1371.37"/>
    <n v="1371.37"/>
    <n v="1270.9857160000001"/>
    <n v="1181.8858479999999"/>
  </r>
  <r>
    <n v="142"/>
    <n v="20.057200000000002"/>
    <n v="85.030100000000004"/>
    <x v="0"/>
    <s v="NA"/>
    <n v="3"/>
    <n v="8135.61"/>
    <x v="3"/>
    <n v="2.75"/>
    <n v="19370.887409999999"/>
    <n v="17984.579465999999"/>
    <n v="16373.728685999999"/>
    <n v="14706.742197"/>
    <n v="12759.077163"/>
    <n v="12759.077163"/>
    <n v="22372.927499999998"/>
    <n v="22372.927499999998"/>
    <n v="22372.927499999998"/>
    <n v="22372.927499999998"/>
    <n v="21330.755859000001"/>
    <n v="20405.737001999998"/>
  </r>
  <r>
    <n v="143"/>
    <n v="20.057400000000001"/>
    <n v="85.035399999999996"/>
    <x v="0"/>
    <s v="NA"/>
    <n v="3"/>
    <n v="4566.41"/>
    <x v="3"/>
    <n v="2.75"/>
    <n v="10872.622210000001"/>
    <n v="10094.505945999999"/>
    <n v="9190.356765999999"/>
    <n v="8254.6993569999995"/>
    <n v="7161.5008029999999"/>
    <n v="7161.5008029999999"/>
    <n v="12557.627499999999"/>
    <n v="12557.627499999999"/>
    <n v="12557.627499999999"/>
    <n v="12557.627499999999"/>
    <n v="11972.670379000001"/>
    <n v="11453.469562"/>
  </r>
  <r>
    <n v="144"/>
    <n v="20.049199999999999"/>
    <n v="85.040300000000002"/>
    <x v="0"/>
    <s v="NA"/>
    <n v="2"/>
    <n v="1061.56"/>
    <x v="3"/>
    <n v="1.75"/>
    <n v="1466.0143599999999"/>
    <n v="1285.1245359999998"/>
    <n v="1074.9356559999999"/>
    <n v="857.42201199999988"/>
    <n v="603.28454799999997"/>
    <n v="603.28454799999997"/>
    <n v="1857.73"/>
    <n v="1857.73"/>
    <n v="1857.73"/>
    <n v="1857.73"/>
    <n v="1721.744164"/>
    <n v="1601.0447919999999"/>
  </r>
  <r>
    <n v="145"/>
    <n v="20.045000000000002"/>
    <n v="85.0351"/>
    <x v="0"/>
    <s v="NA"/>
    <n v="2"/>
    <n v="384.65"/>
    <x v="3"/>
    <n v="1.75"/>
    <n v="531.20164999999997"/>
    <n v="465.65728999999993"/>
    <n v="389.49658999999997"/>
    <n v="310.681805"/>
    <n v="218.59659500000001"/>
    <n v="218.59659500000001"/>
    <n v="673.13749999999993"/>
    <n v="673.13749999999993"/>
    <n v="673.13749999999993"/>
    <n v="673.13749999999993"/>
    <n v="623.86383499999999"/>
    <n v="580.12912999999992"/>
  </r>
  <r>
    <n v="146"/>
    <n v="20.043199999999999"/>
    <n v="85.034300000000002"/>
    <x v="0"/>
    <s v="NA"/>
    <n v="3"/>
    <n v="3040.49"/>
    <x v="3"/>
    <n v="2.75"/>
    <n v="7239.4066899999998"/>
    <n v="6721.3071939999991"/>
    <n v="6119.2901739999998"/>
    <n v="5496.2937729999994"/>
    <n v="4768.4004669999995"/>
    <n v="4768.4004669999995"/>
    <n v="8361.3474999999999"/>
    <n v="8361.3474999999999"/>
    <n v="8361.3474999999999"/>
    <n v="8361.3474999999999"/>
    <n v="7971.8607309999998"/>
    <n v="7626.157017999999"/>
  </r>
  <r>
    <n v="147"/>
    <n v="20.041899999999998"/>
    <n v="85.027000000000001"/>
    <x v="0"/>
    <s v="NA"/>
    <n v="3"/>
    <n v="5695.96"/>
    <x v="3"/>
    <n v="2.75"/>
    <n v="13562.080760000001"/>
    <n v="12591.489175999999"/>
    <n v="11463.689096"/>
    <n v="10296.586892000001"/>
    <n v="8932.9740679999995"/>
    <n v="8932.9740679999995"/>
    <n v="15663.89"/>
    <n v="15663.89"/>
    <n v="15663.89"/>
    <n v="15663.89"/>
    <n v="14934.237524"/>
    <n v="14286.606872"/>
  </r>
  <r>
    <n v="148"/>
    <n v="20.0337"/>
    <n v="85.035200000000003"/>
    <x v="0"/>
    <s v="NA"/>
    <n v="2"/>
    <n v="649.66"/>
    <x v="3"/>
    <n v="1.75"/>
    <n v="897.18045999999993"/>
    <n v="786.47839599999986"/>
    <n v="657.84571599999992"/>
    <n v="524.73038199999996"/>
    <n v="369.20177799999999"/>
    <n v="369.20177799999999"/>
    <n v="1136.905"/>
    <n v="1136.905"/>
    <n v="1136.905"/>
    <n v="1136.905"/>
    <n v="1053.683554"/>
    <n v="979.81721199999993"/>
  </r>
  <r>
    <n v="149"/>
    <n v="20.022300000000001"/>
    <n v="85.030900000000003"/>
    <x v="0"/>
    <s v="NA"/>
    <n v="2.5"/>
    <n v="5296.08"/>
    <x v="7"/>
    <n v="2.25"/>
    <n v="9961.9264800000001"/>
    <n v="9059.474447999999"/>
    <n v="8010.8506079999997"/>
    <n v="6925.6838160000007"/>
    <n v="5657.8022639999999"/>
    <n v="5657.8022639999999"/>
    <n v="11916.18"/>
    <n v="11916.18"/>
    <n v="11916.18"/>
    <n v="11916.18"/>
    <n v="11237.752152000001"/>
    <n v="10635.587856"/>
  </r>
  <r>
    <n v="150"/>
    <n v="20.024899999999999"/>
    <n v="85.032200000000003"/>
    <x v="0"/>
    <s v="NA"/>
    <n v="3"/>
    <n v="806.06"/>
    <x v="7"/>
    <n v="2.75"/>
    <n v="1919.2288599999999"/>
    <n v="1781.8762359999998"/>
    <n v="1622.2763559999999"/>
    <n v="1457.114662"/>
    <n v="1264.143898"/>
    <n v="1264.143898"/>
    <n v="2216.665"/>
    <n v="2216.665"/>
    <n v="2216.665"/>
    <n v="2216.665"/>
    <n v="2113.4087140000001"/>
    <n v="2021.7596919999999"/>
  </r>
  <r>
    <n v="151"/>
    <n v="20.005700000000001"/>
    <n v="85.036000000000001"/>
    <x v="0"/>
    <s v="NA"/>
    <n v="3"/>
    <n v="834.92"/>
    <x v="8"/>
    <n v="2.75"/>
    <n v="1987.94452"/>
    <n v="1845.6741519999998"/>
    <n v="1680.3599919999999"/>
    <n v="1509.2848839999999"/>
    <n v="1309.4050359999999"/>
    <n v="1309.4050359999999"/>
    <n v="2296.0299999999997"/>
    <n v="2296.0299999999997"/>
    <n v="2296.0299999999997"/>
    <n v="2296.0299999999997"/>
    <n v="2189.076748"/>
    <n v="2094.1463439999998"/>
  </r>
  <r>
    <n v="152"/>
    <n v="20.0063"/>
    <n v="85.037499999999994"/>
    <x v="0"/>
    <s v="NA"/>
    <n v="2.5"/>
    <n v="2188.15"/>
    <x v="8"/>
    <n v="2.25"/>
    <n v="4115.9101500000006"/>
    <n v="3743.0493900000001"/>
    <n v="3309.7956899999999"/>
    <n v="2861.4437550000002"/>
    <n v="2337.600645"/>
    <n v="2337.600645"/>
    <n v="4923.3375000000005"/>
    <n v="4923.3375000000005"/>
    <n v="4923.3375000000005"/>
    <n v="4923.3375000000005"/>
    <n v="4643.0354850000003"/>
    <n v="4394.2428300000001"/>
  </r>
  <r>
    <n v="153"/>
    <n v="20.008900000000001"/>
    <n v="85.051699999999997"/>
    <x v="0"/>
    <s v="NA"/>
    <n v="4"/>
    <n v="3361.19"/>
    <x v="8"/>
    <n v="3.75"/>
    <n v="11364.18339"/>
    <n v="10791.436614"/>
    <n v="10125.920994"/>
    <n v="9437.2131630000003"/>
    <n v="8632.5442769999991"/>
    <n v="8632.5442769999991"/>
    <n v="12604.4625"/>
    <n v="12604.4625"/>
    <n v="12604.4625"/>
    <n v="12604.4625"/>
    <n v="12173.894061000001"/>
    <n v="11791.726758000001"/>
  </r>
  <r>
    <n v="154"/>
    <n v="20.009499999999999"/>
    <n v="85.052199999999999"/>
    <x v="0"/>
    <s v="NA"/>
    <n v="2"/>
    <n v="1453.04"/>
    <x v="8"/>
    <n v="1.75"/>
    <n v="2006.64824"/>
    <n v="1759.0502239999998"/>
    <n v="1471.3483039999999"/>
    <n v="1173.620408"/>
    <n v="825.76263200000005"/>
    <n v="825.76263200000005"/>
    <n v="2542.8199999999997"/>
    <n v="2542.8199999999997"/>
    <n v="2542.8199999999997"/>
    <n v="2542.8199999999997"/>
    <n v="2356.6855760000003"/>
    <n v="2191.4749280000001"/>
  </r>
  <r>
    <n v="155"/>
    <n v="20.0123"/>
    <n v="85.055899999999994"/>
    <x v="0"/>
    <s v="NA"/>
    <n v="4"/>
    <n v="1846.38"/>
    <x v="8"/>
    <n v="3.75"/>
    <n v="6242.6107800000009"/>
    <n v="5927.9876279999999"/>
    <n v="5562.4043879999999"/>
    <n v="5184.081126"/>
    <n v="4742.0577539999995"/>
    <n v="4742.0577539999995"/>
    <n v="6923.9250000000002"/>
    <n v="6923.9250000000002"/>
    <n v="6923.9250000000002"/>
    <n v="6923.9250000000002"/>
    <n v="6687.4037220000009"/>
    <n v="6477.4703159999999"/>
  </r>
  <r>
    <n v="156"/>
    <n v="20.011500000000002"/>
    <n v="85.055700000000002"/>
    <x v="0"/>
    <s v="NA"/>
    <n v="2"/>
    <n v="4978.2299999999996"/>
    <x v="8"/>
    <n v="1.75"/>
    <n v="6874.935629999999"/>
    <n v="6026.6452379999992"/>
    <n v="5040.9556979999988"/>
    <n v="4020.9163709999993"/>
    <n v="2829.1281089999998"/>
    <n v="2829.1281089999998"/>
    <n v="8711.9025000000001"/>
    <n v="8711.9025000000001"/>
    <n v="8711.9025000000001"/>
    <n v="8711.9025000000001"/>
    <n v="8074.191237"/>
    <n v="7508.1664859999992"/>
  </r>
  <r>
    <n v="157"/>
    <n v="20.013000000000002"/>
    <n v="85.056100000000001"/>
    <x v="0"/>
    <s v="NA"/>
    <n v="3"/>
    <n v="8097.19"/>
    <x v="8"/>
    <n v="2.75"/>
    <n v="19279.409390000001"/>
    <n v="17899.648213999997"/>
    <n v="16296.404594"/>
    <n v="14637.290363"/>
    <n v="12698.823076999999"/>
    <n v="12698.823076999999"/>
    <n v="22267.272499999999"/>
    <n v="22267.272499999999"/>
    <n v="22267.272499999999"/>
    <n v="22267.272499999999"/>
    <n v="21230.022461"/>
    <n v="20309.371958"/>
  </r>
  <r>
    <n v="158"/>
    <n v="20.0136"/>
    <n v="85.050200000000004"/>
    <x v="0"/>
    <s v="NA"/>
    <n v="4"/>
    <n v="14801.2"/>
    <x v="8"/>
    <n v="3.75"/>
    <n v="50042.857200000006"/>
    <n v="47520.73272"/>
    <n v="44590.095119999998"/>
    <n v="41557.329240000006"/>
    <n v="38013.92196"/>
    <n v="38013.92196"/>
    <n v="55504.5"/>
    <n v="55504.5"/>
    <n v="55504.5"/>
    <n v="55504.5"/>
    <n v="53608.466280000008"/>
    <n v="51925.569840000004"/>
  </r>
  <r>
    <n v="159"/>
    <n v="20.012799999999999"/>
    <n v="85.051699999999997"/>
    <x v="0"/>
    <s v="NA"/>
    <n v="2"/>
    <n v="499.14"/>
    <x v="8"/>
    <n v="1.75"/>
    <n v="689.31233999999995"/>
    <n v="604.25888399999997"/>
    <n v="505.42916399999996"/>
    <n v="403.15537799999998"/>
    <n v="283.66126200000002"/>
    <n v="283.66126200000002"/>
    <n v="873.495"/>
    <n v="873.495"/>
    <n v="873.495"/>
    <n v="873.495"/>
    <n v="809.55516599999999"/>
    <n v="752.80294800000001"/>
  </r>
  <r>
    <n v="160"/>
    <n v="20.015000000000001"/>
    <n v="85.054000000000002"/>
    <x v="0"/>
    <s v="NA"/>
    <n v="4"/>
    <n v="6020.76"/>
    <x v="8"/>
    <n v="3.75"/>
    <n v="20356.189560000003"/>
    <n v="19330.252056000001"/>
    <n v="18138.141576000002"/>
    <n v="16904.487852000002"/>
    <n v="15463.117908"/>
    <n v="15463.117908"/>
    <n v="22577.850000000002"/>
    <n v="22577.850000000002"/>
    <n v="22577.850000000002"/>
    <n v="22577.850000000002"/>
    <n v="21806.590644"/>
    <n v="21122.030232000001"/>
  </r>
  <r>
    <n v="161"/>
    <n v="20.016100000000002"/>
    <n v="85.059899999999999"/>
    <x v="0"/>
    <s v="NA"/>
    <n v="4"/>
    <n v="7645.11"/>
    <x v="8"/>
    <n v="3.75"/>
    <n v="25848.116910000001"/>
    <n v="24545.390165999997"/>
    <n v="23031.658385999999"/>
    <n v="21465.175347"/>
    <n v="19634.936012999999"/>
    <n v="19634.936012999999"/>
    <n v="28669.162499999999"/>
    <n v="28669.162499999999"/>
    <n v="28669.162499999999"/>
    <n v="28669.162499999999"/>
    <n v="27689.823908999999"/>
    <n v="26820.574902"/>
  </r>
  <r>
    <n v="162"/>
    <n v="20.015499999999999"/>
    <n v="85.062200000000004"/>
    <x v="0"/>
    <s v="NA"/>
    <n v="4"/>
    <n v="11921.9"/>
    <x v="8"/>
    <n v="3.75"/>
    <n v="40307.943899999998"/>
    <n v="38276.452140000001"/>
    <n v="35915.915939999999"/>
    <n v="33473.118629999997"/>
    <n v="30619.015769999998"/>
    <n v="30619.015769999998"/>
    <n v="44707.125"/>
    <n v="44707.125"/>
    <n v="44707.125"/>
    <n v="44707.125"/>
    <n v="43179.929609999999"/>
    <n v="41824.40958"/>
  </r>
  <r>
    <n v="163"/>
    <n v="20.017900000000001"/>
    <n v="85.055800000000005"/>
    <x v="0"/>
    <s v="NA"/>
    <n v="3"/>
    <n v="1628.98"/>
    <x v="8"/>
    <n v="2.75"/>
    <n v="3878.6013800000005"/>
    <n v="3601.0231879999997"/>
    <n v="3278.4851479999998"/>
    <n v="2944.7071460000002"/>
    <n v="2554.7293340000001"/>
    <n v="2554.7293340000001"/>
    <n v="4479.6949999999997"/>
    <n v="4479.6949999999997"/>
    <n v="4479.6949999999997"/>
    <n v="4479.6949999999997"/>
    <n v="4271.0226620000003"/>
    <n v="4085.807636"/>
  </r>
  <r>
    <n v="164"/>
    <n v="20.018799999999999"/>
    <n v="85.055999999999997"/>
    <x v="0"/>
    <s v="NA"/>
    <n v="3"/>
    <n v="9209.61"/>
    <x v="8"/>
    <n v="2.75"/>
    <n v="21928.081410000003"/>
    <n v="20358.763866000001"/>
    <n v="18535.261086000002"/>
    <n v="16648.211997000002"/>
    <n v="14443.431363000002"/>
    <n v="14443.431363000002"/>
    <n v="25326.427500000002"/>
    <n v="25326.427500000002"/>
    <n v="25326.427500000002"/>
    <n v="25326.427500000002"/>
    <n v="24146.676459000002"/>
    <n v="23099.543802"/>
  </r>
  <r>
    <n v="165"/>
    <n v="20.0197"/>
    <n v="85.056100000000001"/>
    <x v="0"/>
    <s v="NA"/>
    <n v="3"/>
    <n v="4443.33"/>
    <x v="8"/>
    <n v="2.75"/>
    <n v="10579.568730000001"/>
    <n v="9822.4252980000001"/>
    <n v="8942.6459579999992"/>
    <n v="8032.207641"/>
    <n v="6968.4744389999996"/>
    <n v="6968.4744389999996"/>
    <n v="12219.157499999999"/>
    <n v="12219.157499999999"/>
    <n v="12219.157499999999"/>
    <n v="12219.157499999999"/>
    <n v="11649.966926999999"/>
    <n v="11144.760306"/>
  </r>
  <r>
    <n v="166"/>
    <n v="20.020199999999999"/>
    <n v="85.0535"/>
    <x v="0"/>
    <s v="NA"/>
    <n v="3"/>
    <n v="5129.92"/>
    <x v="8"/>
    <n v="2.75"/>
    <n v="12214.339520000001"/>
    <n v="11340.201152"/>
    <n v="10324.476992"/>
    <n v="9273.3563840000006"/>
    <n v="8045.2535360000002"/>
    <n v="8045.2535360000002"/>
    <n v="14107.28"/>
    <n v="14107.28"/>
    <n v="14107.28"/>
    <n v="14107.28"/>
    <n v="13450.137248000001"/>
    <n v="12866.865344"/>
  </r>
  <r>
    <n v="167"/>
    <n v="20.020099999999999"/>
    <n v="85.0595"/>
    <x v="0"/>
    <s v="NA"/>
    <n v="2"/>
    <n v="1205.73"/>
    <x v="8"/>
    <n v="1.75"/>
    <n v="1665.11313"/>
    <n v="1459.6567379999999"/>
    <n v="1220.922198"/>
    <n v="973.86812099999997"/>
    <n v="685.21635900000001"/>
    <n v="685.21635900000001"/>
    <n v="2110.0275000000001"/>
    <n v="2110.0275000000001"/>
    <n v="2110.0275000000001"/>
    <n v="2110.0275000000001"/>
    <n v="1955.5734870000001"/>
    <n v="1818.481986"/>
  </r>
  <r>
    <n v="168"/>
    <n v="20.023900000000001"/>
    <n v="85.049300000000002"/>
    <x v="0"/>
    <s v="NA"/>
    <n v="3"/>
    <n v="1916.72"/>
    <x v="8"/>
    <n v="2.75"/>
    <n v="4563.7103200000001"/>
    <n v="4237.101232"/>
    <n v="3857.5906719999998"/>
    <n v="3464.8547440000002"/>
    <n v="3005.9919760000002"/>
    <n v="3005.9919760000002"/>
    <n v="5270.9800000000005"/>
    <n v="5270.9800000000005"/>
    <n v="5270.9800000000005"/>
    <n v="5270.9800000000005"/>
    <n v="5025.4481679999999"/>
    <n v="4807.5171040000005"/>
  </r>
  <r>
    <n v="169"/>
    <n v="20.025200000000002"/>
    <n v="85.047300000000007"/>
    <x v="0"/>
    <s v="NA"/>
    <n v="3.5"/>
    <n v="3287.36"/>
    <x v="8"/>
    <n v="3.25"/>
    <n v="9470.8841600000014"/>
    <n v="8910.7180160000007"/>
    <n v="8259.8207359999997"/>
    <n v="7586.2406720000008"/>
    <n v="6799.2466879999993"/>
    <n v="6799.2466879999993"/>
    <n v="10683.92"/>
    <n v="10683.92"/>
    <n v="10683.92"/>
    <n v="10683.92"/>
    <n v="10262.809184000002"/>
    <n v="9889.036352000001"/>
  </r>
  <r>
    <n v="170"/>
    <n v="20.0259"/>
    <n v="85.047300000000007"/>
    <x v="0"/>
    <s v="NA"/>
    <n v="4"/>
    <n v="2144.63"/>
    <x v="8"/>
    <n v="3.75"/>
    <n v="7250.9940300000007"/>
    <n v="6885.549078"/>
    <n v="6460.9123380000001"/>
    <n v="6021.4776510000002"/>
    <n v="5508.0532290000001"/>
    <n v="5508.0532290000001"/>
    <n v="8042.3625000000002"/>
    <n v="8042.3625000000002"/>
    <n v="8042.3625000000002"/>
    <n v="8042.3625000000002"/>
    <n v="7767.6353970000009"/>
    <n v="7523.7909660000005"/>
  </r>
  <r>
    <n v="171"/>
    <n v="20.026299999999999"/>
    <n v="85.048100000000005"/>
    <x v="0"/>
    <s v="NA"/>
    <n v="4"/>
    <n v="1260.23"/>
    <x v="8"/>
    <n v="3.75"/>
    <n v="4260.83763"/>
    <n v="4046.0944380000001"/>
    <n v="3796.568898"/>
    <n v="3538.3477710000002"/>
    <n v="3236.6487089999996"/>
    <n v="3236.6487089999996"/>
    <n v="4725.8625000000002"/>
    <n v="4725.8625000000002"/>
    <n v="4725.8625000000002"/>
    <n v="4725.8625000000002"/>
    <n v="4564.4270370000004"/>
    <n v="4421.1388859999997"/>
  </r>
  <r>
    <n v="172"/>
    <n v="20.029699999999998"/>
    <n v="85.049000000000007"/>
    <x v="0"/>
    <s v="NA"/>
    <n v="2"/>
    <n v="412.47"/>
    <x v="8"/>
    <n v="1.75"/>
    <n v="569.62107000000003"/>
    <n v="499.33618200000001"/>
    <n v="417.66712200000001"/>
    <n v="333.152019"/>
    <n v="234.40670100000003"/>
    <n v="234.40670100000003"/>
    <n v="721.82249999999999"/>
    <n v="721.82249999999999"/>
    <n v="721.82249999999999"/>
    <n v="721.82249999999999"/>
    <n v="668.98509300000012"/>
    <n v="622.08725400000003"/>
  </r>
  <r>
    <n v="173"/>
    <n v="20.017700000000001"/>
    <n v="85.045100000000005"/>
    <x v="0"/>
    <s v="NA"/>
    <n v="2.5"/>
    <n v="3598.68"/>
    <x v="8"/>
    <n v="2.25"/>
    <n v="6769.11708"/>
    <n v="6155.9020079999991"/>
    <n v="5443.3633679999994"/>
    <n v="4705.9938359999996"/>
    <n v="3844.4698439999997"/>
    <n v="3844.4698439999997"/>
    <n v="8097.03"/>
    <n v="8097.03"/>
    <n v="8097.03"/>
    <n v="8097.03"/>
    <n v="7636.039092"/>
    <n v="7226.8691759999992"/>
  </r>
  <r>
    <n v="174"/>
    <n v="20.027799999999999"/>
    <n v="85.063199999999995"/>
    <x v="0"/>
    <s v="NA"/>
    <n v="2"/>
    <n v="30168.26"/>
    <x v="9"/>
    <n v="1.75"/>
    <n v="41662.367059999997"/>
    <n v="36521.695555999991"/>
    <n v="30548.380075999998"/>
    <n v="24366.903601999999"/>
    <n v="17144.622157999998"/>
    <n v="17144.622157999998"/>
    <n v="52794.454999999994"/>
    <n v="52794.454999999994"/>
    <n v="52794.454999999994"/>
    <n v="52794.454999999994"/>
    <n v="48929.900893999999"/>
    <n v="45499.769732000001"/>
  </r>
  <r>
    <n v="175"/>
    <n v="20.0304"/>
    <n v="85.055599999999998"/>
    <x v="0"/>
    <s v="NA"/>
    <n v="2"/>
    <n v="532.88"/>
    <x v="9"/>
    <n v="1.75"/>
    <n v="735.90728000000001"/>
    <n v="645.10452799999996"/>
    <n v="539.59428800000001"/>
    <n v="430.40717599999999"/>
    <n v="302.83570400000002"/>
    <n v="302.83570400000002"/>
    <n v="932.54"/>
    <n v="932.54"/>
    <n v="932.54"/>
    <n v="932.54"/>
    <n v="864.27807200000007"/>
    <n v="803.689616"/>
  </r>
  <r>
    <n v="176"/>
    <n v="20.033200000000001"/>
    <n v="85.051100000000005"/>
    <x v="0"/>
    <s v="NA"/>
    <n v="2"/>
    <n v="1864.37"/>
    <x v="9"/>
    <n v="1.75"/>
    <n v="2574.69497"/>
    <n v="2257.0063219999997"/>
    <n v="1887.8610619999997"/>
    <n v="1505.851649"/>
    <n v="1059.521471"/>
    <n v="1059.521471"/>
    <n v="3262.6475"/>
    <n v="3262.6475"/>
    <n v="3262.6475"/>
    <n v="3262.6475"/>
    <n v="3023.8217030000001"/>
    <n v="2811.8428339999996"/>
  </r>
  <r>
    <n v="177"/>
    <n v="20.033300000000001"/>
    <n v="85.0488"/>
    <x v="0"/>
    <s v="NA"/>
    <n v="2"/>
    <n v="1053.96"/>
    <x v="9"/>
    <n v="1.75"/>
    <n v="1455.5187600000002"/>
    <n v="1275.923976"/>
    <n v="1067.239896"/>
    <n v="851.28349200000002"/>
    <n v="598.9654680000001"/>
    <n v="598.9654680000001"/>
    <n v="1844.43"/>
    <n v="1844.43"/>
    <n v="1844.43"/>
    <n v="1844.43"/>
    <n v="1709.4177240000001"/>
    <n v="1589.5824720000001"/>
  </r>
  <r>
    <n v="178"/>
    <n v="20.034800000000001"/>
    <n v="85.051199999999994"/>
    <x v="0"/>
    <s v="NA"/>
    <n v="3.6"/>
    <n v="5408.82"/>
    <x v="9"/>
    <n v="3.35"/>
    <n v="16123.692419999998"/>
    <n v="15202.029492"/>
    <n v="14131.083132"/>
    <n v="13022.815914000001"/>
    <n v="11727.944406000001"/>
    <n v="11727.944406000001"/>
    <n v="18119.546999999999"/>
    <n v="18119.546999999999"/>
    <n v="18119.546999999999"/>
    <n v="18119.546999999999"/>
    <n v="17426.677157999999"/>
    <n v="16811.694324"/>
  </r>
  <r>
    <n v="179"/>
    <n v="20.025400000000001"/>
    <n v="85.071700000000007"/>
    <x v="0"/>
    <s v="NA"/>
    <n v="2"/>
    <n v="1341.21"/>
    <x v="9"/>
    <n v="1.75"/>
    <n v="1852.21101"/>
    <n v="1623.6688259999999"/>
    <n v="1358.109246"/>
    <n v="1083.2953170000001"/>
    <n v="762.20964300000003"/>
    <n v="762.20964300000003"/>
    <n v="2347.1175000000003"/>
    <n v="2347.1175000000003"/>
    <n v="2347.1175000000003"/>
    <n v="2347.1175000000003"/>
    <n v="2175.3084990000002"/>
    <n v="2022.8129220000001"/>
  </r>
  <r>
    <n v="180"/>
    <n v="20.024999999999999"/>
    <n v="85.070899999999995"/>
    <x v="0"/>
    <s v="NA"/>
    <n v="2"/>
    <n v="872.79"/>
    <x v="9"/>
    <n v="1.75"/>
    <n v="1205.3229899999999"/>
    <n v="1056.5995739999998"/>
    <n v="883.78715399999987"/>
    <n v="704.95248299999992"/>
    <n v="496.00655699999999"/>
    <n v="496.00655699999999"/>
    <n v="1527.3824999999999"/>
    <n v="1527.3824999999999"/>
    <n v="1527.3824999999999"/>
    <n v="1527.3824999999999"/>
    <n v="1415.5781010000001"/>
    <n v="1316.341878"/>
  </r>
  <r>
    <n v="181"/>
    <n v="20.031400000000001"/>
    <n v="85.085300000000004"/>
    <x v="0"/>
    <s v="NA"/>
    <n v="4"/>
    <n v="5590.64"/>
    <x v="9"/>
    <n v="3.75"/>
    <n v="18901.953840000002"/>
    <n v="17949.308784000001"/>
    <n v="16842.362064000001"/>
    <n v="15696.839928000001"/>
    <n v="14358.440712"/>
    <n v="14358.440712"/>
    <n v="20964.900000000001"/>
    <n v="20964.900000000001"/>
    <n v="20964.900000000001"/>
    <n v="20964.900000000001"/>
    <n v="20248.739016000003"/>
    <n v="19613.083248000003"/>
  </r>
  <r>
    <n v="182"/>
    <n v="20.033300000000001"/>
    <n v="85.083299999999994"/>
    <x v="0"/>
    <s v="NA"/>
    <n v="4"/>
    <n v="9833.4500000000007"/>
    <x v="9"/>
    <n v="3.75"/>
    <n v="33246.894450000007"/>
    <n v="31571.274570000001"/>
    <n v="29624.251470000003"/>
    <n v="27609.377565000003"/>
    <n v="25255.249635"/>
    <n v="25255.249635"/>
    <n v="36875.4375"/>
    <n v="36875.4375"/>
    <n v="36875.4375"/>
    <n v="36875.4375"/>
    <n v="35615.772555000003"/>
    <n v="34497.709289999999"/>
  </r>
  <r>
    <n v="183"/>
    <n v="20.036100000000001"/>
    <n v="85.080799999999996"/>
    <x v="0"/>
    <s v="NA"/>
    <n v="3"/>
    <n v="12382.63"/>
    <x v="9"/>
    <n v="2.75"/>
    <n v="29483.042030000001"/>
    <n v="27373.041877999996"/>
    <n v="24921.281137999998"/>
    <n v="22384.080250999999"/>
    <n v="19419.678628999998"/>
    <n v="19419.678628999998"/>
    <n v="34052.232499999998"/>
    <n v="34052.232499999998"/>
    <n v="34052.232499999998"/>
    <n v="34052.232499999998"/>
    <n v="32466.017596999998"/>
    <n v="31058.112565999996"/>
  </r>
  <r>
    <n v="184"/>
    <n v="20.034199999999998"/>
    <n v="85.076400000000007"/>
    <x v="0"/>
    <s v="NA"/>
    <n v="2"/>
    <n v="5590.36"/>
    <x v="9"/>
    <n v="1.75"/>
    <n v="7720.2871599999999"/>
    <n v="6767.6898159999992"/>
    <n v="5660.7985359999993"/>
    <n v="4515.333772"/>
    <n v="3177.0015880000001"/>
    <n v="3177.0015880000001"/>
    <n v="9783.1299999999992"/>
    <n v="9783.1299999999992"/>
    <n v="9783.1299999999992"/>
    <n v="9783.1299999999992"/>
    <n v="9067.0048839999999"/>
    <n v="8431.3809519999995"/>
  </r>
  <r>
    <n v="185"/>
    <n v="20.034300000000002"/>
    <n v="85.080100000000002"/>
    <x v="0"/>
    <s v="NA"/>
    <n v="3"/>
    <n v="579.6"/>
    <x v="9"/>
    <n v="2.75"/>
    <n v="1380.0276000000001"/>
    <n v="1281.26376"/>
    <n v="1166.50296"/>
    <n v="1047.7429200000001"/>
    <n v="908.98668000000009"/>
    <n v="908.98668000000009"/>
    <n v="1593.9"/>
    <n v="1593.9"/>
    <n v="1593.9"/>
    <n v="1593.9"/>
    <n v="1519.6532400000001"/>
    <n v="1453.75272"/>
  </r>
  <r>
    <n v="186"/>
    <n v="20.031400000000001"/>
    <n v="85.0899"/>
    <x v="0"/>
    <s v="NA"/>
    <n v="2.5"/>
    <n v="3524.36"/>
    <x v="9"/>
    <n v="2.25"/>
    <n v="6629.3211600000004"/>
    <n v="6028.7702159999999"/>
    <n v="5330.9469360000003"/>
    <n v="4608.8055720000002"/>
    <n v="3765.0737880000001"/>
    <n v="3765.0737880000001"/>
    <n v="7929.81"/>
    <n v="7929.81"/>
    <n v="7929.81"/>
    <n v="7929.81"/>
    <n v="7478.339484000001"/>
    <n v="7077.6197520000005"/>
  </r>
  <r>
    <n v="187"/>
    <n v="20.037800000000001"/>
    <n v="85.0959"/>
    <x v="0"/>
    <s v="NA"/>
    <n v="3"/>
    <n v="5897.8"/>
    <x v="9"/>
    <n v="2.75"/>
    <n v="14042.661800000002"/>
    <n v="13037.67668"/>
    <n v="11869.91228"/>
    <n v="10661.453060000002"/>
    <n v="9249.5197399999997"/>
    <n v="9249.5197399999997"/>
    <n v="16218.95"/>
    <n v="16218.95"/>
    <n v="16218.95"/>
    <n v="16218.95"/>
    <n v="15463.441820000002"/>
    <n v="14792.86196"/>
  </r>
  <r>
    <n v="188"/>
    <n v="20.040400000000002"/>
    <n v="85.092699999999994"/>
    <x v="0"/>
    <s v="NA"/>
    <n v="3"/>
    <n v="8346.19"/>
    <x v="9"/>
    <n v="2.75"/>
    <n v="19872.278390000003"/>
    <n v="18450.087614"/>
    <n v="16797.541993999999"/>
    <n v="15087.407663000002"/>
    <n v="13089.329777000001"/>
    <n v="13089.329777000001"/>
    <n v="22952.022500000003"/>
    <n v="22952.022500000003"/>
    <n v="22952.022500000003"/>
    <n v="22952.022500000003"/>
    <n v="21882.875561000001"/>
    <n v="20933.913758000002"/>
  </r>
  <r>
    <n v="189"/>
    <n v="20.040099999999999"/>
    <n v="85.104600000000005"/>
    <x v="0"/>
    <s v="NA"/>
    <n v="4"/>
    <n v="1509.78"/>
    <x v="9"/>
    <n v="3.75"/>
    <n v="5104.5661799999998"/>
    <n v="4847.2996679999997"/>
    <n v="4548.3632280000002"/>
    <n v="4239.0093059999999"/>
    <n v="3877.5679739999996"/>
    <n v="3877.5679739999996"/>
    <n v="5661.6750000000002"/>
    <n v="5661.6750000000002"/>
    <n v="5661.6750000000002"/>
    <n v="5661.6750000000002"/>
    <n v="5468.2721819999997"/>
    <n v="5296.6101959999996"/>
  </r>
  <r>
    <n v="190"/>
    <n v="20.042400000000001"/>
    <n v="85.105000000000004"/>
    <x v="0"/>
    <s v="NA"/>
    <n v="3"/>
    <n v="653.04999999999995"/>
    <x v="9"/>
    <n v="2.75"/>
    <n v="1554.9120500000001"/>
    <n v="1443.6323299999999"/>
    <n v="1314.3284299999998"/>
    <n v="1180.5184850000001"/>
    <n v="1024.1783149999999"/>
    <n v="1024.1783149999999"/>
    <n v="1795.8874999999998"/>
    <n v="1795.8874999999998"/>
    <n v="1795.8874999999998"/>
    <n v="1795.8874999999998"/>
    <n v="1712.2317949999999"/>
    <n v="1637.9800099999998"/>
  </r>
  <r>
    <n v="191"/>
    <n v="20.0444"/>
    <n v="85.105199999999996"/>
    <x v="0"/>
    <s v="NA"/>
    <n v="3"/>
    <n v="4701.7299999999996"/>
    <x v="9"/>
    <n v="2.75"/>
    <n v="11194.81913"/>
    <n v="10393.644337999998"/>
    <n v="9462.7017979999982"/>
    <n v="8499.3173210000004"/>
    <n v="7373.7231589999992"/>
    <n v="7373.7231589999992"/>
    <n v="12929.7575"/>
    <n v="12929.7575"/>
    <n v="12929.7575"/>
    <n v="12929.7575"/>
    <n v="12327.465887"/>
    <n v="11792.879185999998"/>
  </r>
  <r>
    <n v="192"/>
    <n v="20.043099999999999"/>
    <n v="85.113100000000003"/>
    <x v="0"/>
    <s v="NA"/>
    <n v="3"/>
    <n v="452.36"/>
    <x v="10"/>
    <n v="2.75"/>
    <n v="1077.0691600000002"/>
    <n v="999.98701600000004"/>
    <n v="910.41973600000006"/>
    <n v="817.73117200000002"/>
    <n v="709.43618800000002"/>
    <n v="709.43618800000002"/>
    <n v="1243.99"/>
    <n v="1243.99"/>
    <n v="1243.99"/>
    <n v="1243.99"/>
    <n v="1186.042684"/>
    <n v="1134.6093519999999"/>
  </r>
  <r>
    <n v="193"/>
    <n v="20.044"/>
    <n v="85.114699999999999"/>
    <x v="0"/>
    <s v="NA"/>
    <n v="4"/>
    <n v="16326.19"/>
    <x v="10"/>
    <n v="3.75"/>
    <n v="55198.848390000006"/>
    <n v="52416.865614000002"/>
    <n v="49184.279994000004"/>
    <n v="45839.043663000004"/>
    <n v="41930.553777000001"/>
    <n v="41930.553777000001"/>
    <n v="61223.212500000001"/>
    <n v="61223.212500000001"/>
    <n v="61223.212500000001"/>
    <n v="61223.212500000001"/>
    <n v="59131.827561000006"/>
    <n v="57275.539757999999"/>
  </r>
  <r>
    <n v="194"/>
    <n v="20.041699999999999"/>
    <n v="85.112399999999994"/>
    <x v="0"/>
    <s v="NA"/>
    <n v="4"/>
    <n v="7100.49"/>
    <x v="10"/>
    <n v="3.75"/>
    <n v="24006.756690000002"/>
    <n v="22796.833193999999"/>
    <n v="21390.936173999999"/>
    <n v="19936.045773000002"/>
    <n v="18236.188466999996"/>
    <n v="18236.188466999996"/>
    <n v="26626.837499999998"/>
    <n v="26626.837499999998"/>
    <n v="26626.837499999998"/>
    <n v="26626.837499999998"/>
    <n v="25717.264730999999"/>
    <n v="24909.939018000001"/>
  </r>
  <r>
    <n v="195"/>
    <n v="20.041"/>
    <n v="85.113500000000002"/>
    <x v="0"/>
    <s v="NA"/>
    <n v="2"/>
    <n v="333.29"/>
    <x v="10"/>
    <n v="1.75"/>
    <n v="460.27349000000004"/>
    <n v="403.48087399999997"/>
    <n v="337.48945400000002"/>
    <n v="269.19833299999999"/>
    <n v="189.40870700000002"/>
    <n v="189.40870700000002"/>
    <n v="583.25750000000005"/>
    <n v="583.25750000000005"/>
    <n v="583.25750000000005"/>
    <n v="583.25750000000005"/>
    <n v="540.56305100000009"/>
    <n v="502.66797800000001"/>
  </r>
  <r>
    <n v="196"/>
    <n v="20.040900000000001"/>
    <n v="85.115399999999994"/>
    <x v="0"/>
    <s v="NA"/>
    <n v="2"/>
    <n v="372.39"/>
    <x v="10"/>
    <n v="1.75"/>
    <n v="514.27058999999997"/>
    <n v="450.81533399999995"/>
    <n v="377.08211399999999"/>
    <n v="300.779403"/>
    <n v="211.62923699999999"/>
    <n v="211.62923699999999"/>
    <n v="651.6825"/>
    <n v="651.6825"/>
    <n v="651.6825"/>
    <n v="651.6825"/>
    <n v="603.97934099999998"/>
    <n v="561.638598"/>
  </r>
  <r>
    <n v="197"/>
    <n v="20.0396"/>
    <n v="85.115600000000001"/>
    <x v="0"/>
    <s v="NA"/>
    <n v="2"/>
    <n v="426.42"/>
    <x v="10"/>
    <n v="1.75"/>
    <n v="588.88602000000003"/>
    <n v="516.22405200000003"/>
    <n v="431.79289199999999"/>
    <n v="344.41943400000002"/>
    <n v="242.33448600000003"/>
    <n v="242.33448600000003"/>
    <n v="746.23500000000001"/>
    <n v="746.23500000000001"/>
    <n v="746.23500000000001"/>
    <n v="746.23500000000001"/>
    <n v="691.6105980000001"/>
    <n v="643.12664400000006"/>
  </r>
  <r>
    <n v="198"/>
    <n v="20.040700000000001"/>
    <n v="85.118499999999997"/>
    <x v="0"/>
    <s v="NA"/>
    <n v="2"/>
    <n v="305.23"/>
    <x v="10"/>
    <n v="1.75"/>
    <n v="421.52263000000005"/>
    <n v="369.511438"/>
    <n v="309.075898"/>
    <n v="246.53427100000002"/>
    <n v="173.46220900000003"/>
    <n v="173.46220900000003"/>
    <n v="534.15250000000003"/>
    <n v="534.15250000000003"/>
    <n v="534.15250000000003"/>
    <n v="534.15250000000003"/>
    <n v="495.05253700000009"/>
    <n v="460.34788600000002"/>
  </r>
  <r>
    <n v="199"/>
    <n v="20.042999999999999"/>
    <n v="85.121399999999994"/>
    <x v="0"/>
    <s v="NA"/>
    <n v="2"/>
    <n v="748.34"/>
    <x v="10"/>
    <n v="1.75"/>
    <n v="1033.4575400000001"/>
    <n v="905.94040399999994"/>
    <n v="757.76908400000002"/>
    <n v="604.43421799999999"/>
    <n v="425.28162200000003"/>
    <n v="425.28162200000003"/>
    <n v="1309.595"/>
    <n v="1309.595"/>
    <n v="1309.595"/>
    <n v="1309.595"/>
    <n v="1213.7326460000002"/>
    <n v="1128.6463880000001"/>
  </r>
  <r>
    <n v="200"/>
    <n v="20.0398"/>
    <n v="85.079099999999997"/>
    <x v="0"/>
    <s v="NA"/>
    <n v="4"/>
    <n v="11860.6"/>
    <x v="11"/>
    <n v="3.75"/>
    <n v="40100.688600000001"/>
    <n v="38079.642359999998"/>
    <n v="35731.243560000003"/>
    <n v="33301.00662"/>
    <n v="30461.578979999998"/>
    <n v="30461.578979999998"/>
    <n v="44477.25"/>
    <n v="44477.25"/>
    <n v="44477.25"/>
    <n v="44477.25"/>
    <n v="42957.907140000003"/>
    <n v="41609.356919999998"/>
  </r>
  <r>
    <n v="201"/>
    <n v="20.041899999999998"/>
    <n v="85.081199999999995"/>
    <x v="0"/>
    <s v="NA"/>
    <n v="4"/>
    <n v="2788.34"/>
    <x v="11"/>
    <n v="3.75"/>
    <n v="9427.3775400000013"/>
    <n v="8952.2444040000009"/>
    <n v="8400.1530839999996"/>
    <n v="7828.8222180000002"/>
    <n v="7161.2936220000001"/>
    <n v="7161.2936220000001"/>
    <n v="10456.275000000001"/>
    <n v="10456.275000000001"/>
    <n v="10456.275000000001"/>
    <n v="10456.275000000001"/>
    <n v="10099.088646"/>
    <n v="9782.0543880000005"/>
  </r>
  <r>
    <n v="202"/>
    <n v="20.040099999999999"/>
    <n v="85.084400000000002"/>
    <x v="0"/>
    <s v="NA"/>
    <n v="4"/>
    <n v="4364.3599999999997"/>
    <x v="11"/>
    <n v="3.75"/>
    <n v="14755.901159999999"/>
    <n v="14012.214215999998"/>
    <n v="13148.070935999998"/>
    <n v="12253.813571999999"/>
    <n v="11208.985787999998"/>
    <n v="11208.985787999998"/>
    <n v="16366.349999999999"/>
    <n v="16366.349999999999"/>
    <n v="16366.349999999999"/>
    <n v="16366.349999999999"/>
    <n v="15807.275484"/>
    <n v="15311.047751999999"/>
  </r>
  <r>
    <n v="203"/>
    <n v="20.052099999999999"/>
    <n v="85.076700000000002"/>
    <x v="0"/>
    <s v="NA"/>
    <n v="2.5"/>
    <n v="3751.28"/>
    <x v="11"/>
    <n v="2.25"/>
    <n v="7056.1576800000003"/>
    <n v="6416.9395679999998"/>
    <n v="5674.1861280000003"/>
    <n v="4905.5488560000003"/>
    <n v="4007.4924240000005"/>
    <n v="4007.4924240000005"/>
    <n v="8440.380000000001"/>
    <n v="8440.380000000001"/>
    <n v="8440.380000000001"/>
    <n v="8440.380000000001"/>
    <n v="7959.8410320000012"/>
    <n v="7533.3204960000003"/>
  </r>
  <r>
    <n v="204"/>
    <n v="20.055499999999999"/>
    <n v="85.077100000000002"/>
    <x v="0"/>
    <s v="NA"/>
    <n v="3"/>
    <n v="10704.14"/>
    <x v="11"/>
    <n v="2.75"/>
    <n v="25486.557339999999"/>
    <n v="23662.571883999997"/>
    <n v="21543.152163999999"/>
    <n v="19349.873877999999"/>
    <n v="16787.302761999999"/>
    <n v="16787.302761999999"/>
    <n v="29436.384999999998"/>
    <n v="29436.384999999998"/>
    <n v="29436.384999999998"/>
    <n v="29436.384999999998"/>
    <n v="28065.184666000001"/>
    <n v="26848.123947999997"/>
  </r>
  <r>
    <n v="205"/>
    <n v="20.053899999999999"/>
    <n v="85.077100000000002"/>
    <x v="0"/>
    <s v="NA"/>
    <n v="2"/>
    <n v="976.67"/>
    <x v="11"/>
    <n v="1.75"/>
    <n v="1348.7812699999999"/>
    <n v="1182.3567019999998"/>
    <n v="988.97604199999989"/>
    <n v="788.856359"/>
    <n v="555.041561"/>
    <n v="555.041561"/>
    <n v="1709.1724999999999"/>
    <n v="1709.1724999999999"/>
    <n v="1709.1724999999999"/>
    <n v="1709.1724999999999"/>
    <n v="1584.0610730000001"/>
    <n v="1473.013694"/>
  </r>
  <r>
    <n v="206"/>
    <n v="20.0534"/>
    <n v="85.076400000000007"/>
    <x v="0"/>
    <s v="NA"/>
    <n v="2"/>
    <n v="647.61"/>
    <x v="11"/>
    <n v="1.75"/>
    <n v="894.34941000000003"/>
    <n v="783.996666"/>
    <n v="655.76988599999993"/>
    <n v="523.07459700000004"/>
    <n v="368.03676300000001"/>
    <n v="368.03676300000001"/>
    <n v="1133.3175000000001"/>
    <n v="1133.3175000000001"/>
    <n v="1133.3175000000001"/>
    <n v="1133.3175000000001"/>
    <n v="1050.358659"/>
    <n v="976.72540200000003"/>
  </r>
  <r>
    <n v="207"/>
    <n v="20.0578"/>
    <n v="85.084299999999999"/>
    <x v="0"/>
    <s v="NA"/>
    <n v="3"/>
    <n v="3409.2"/>
    <x v="11"/>
    <n v="2.75"/>
    <n v="8117.3052000000007"/>
    <n v="7536.3775199999991"/>
    <n v="6861.3559199999991"/>
    <n v="6162.8108400000001"/>
    <n v="5346.6483600000001"/>
    <n v="5346.6483600000001"/>
    <n v="9375.2999999999993"/>
    <n v="9375.2999999999993"/>
    <n v="9375.2999999999993"/>
    <n v="9375.2999999999993"/>
    <n v="8938.5814800000007"/>
    <n v="8550.9554399999997"/>
  </r>
  <r>
    <n v="208"/>
    <n v="20.061699999999998"/>
    <n v="85.087000000000003"/>
    <x v="0"/>
    <s v="NA"/>
    <n v="3"/>
    <n v="10202.459999999999"/>
    <x v="11"/>
    <n v="2.75"/>
    <n v="24292.057260000001"/>
    <n v="22553.558075999998"/>
    <n v="20533.470995999996"/>
    <n v="18442.986942"/>
    <n v="16000.518017999999"/>
    <n v="16000.518017999999"/>
    <n v="28056.764999999999"/>
    <n v="28056.764999999999"/>
    <n v="28056.764999999999"/>
    <n v="28056.764999999999"/>
    <n v="26749.829873999999"/>
    <n v="25589.810171999998"/>
  </r>
  <r>
    <n v="209"/>
    <n v="20.0626"/>
    <n v="85.088499999999996"/>
    <x v="0"/>
    <s v="NA"/>
    <n v="3"/>
    <n v="11347.36"/>
    <x v="11"/>
    <n v="2.75"/>
    <n v="27018.064160000005"/>
    <n v="25084.474016"/>
    <n v="22837.696736000002"/>
    <n v="20512.622672000001"/>
    <n v="17796.064688000002"/>
    <n v="17796.064688000002"/>
    <n v="31205.24"/>
    <n v="31205.24"/>
    <n v="31205.24"/>
    <n v="31205.24"/>
    <n v="29751.643184000004"/>
    <n v="28461.448352000003"/>
  </r>
  <r>
    <n v="210"/>
    <n v="20.0624"/>
    <n v="85.090800000000002"/>
    <x v="0"/>
    <s v="NA"/>
    <n v="3"/>
    <n v="3689.03"/>
    <x v="11"/>
    <n v="2.75"/>
    <n v="8783.5804300000018"/>
    <n v="8154.9697180000003"/>
    <n v="7424.5417779999998"/>
    <n v="6668.6595310000002"/>
    <n v="5785.5057490000008"/>
    <n v="5785.5057490000008"/>
    <n v="10144.8325"/>
    <n v="10144.8325"/>
    <n v="10144.8325"/>
    <n v="10144.8325"/>
    <n v="9672.2677570000014"/>
    <n v="9252.8250459999999"/>
  </r>
  <r>
    <n v="211"/>
    <n v="20.0639"/>
    <n v="85.091700000000003"/>
    <x v="0"/>
    <s v="NA"/>
    <n v="4"/>
    <n v="2733.71"/>
    <x v="11"/>
    <n v="3.75"/>
    <n v="9242.6735100000005"/>
    <n v="8776.8493259999996"/>
    <n v="8235.5747460000002"/>
    <n v="7675.4375669999999"/>
    <n v="7020.9873929999994"/>
    <n v="7020.9873929999994"/>
    <n v="10251.4125"/>
    <n v="10251.4125"/>
    <n v="10251.4125"/>
    <n v="10251.4125"/>
    <n v="9901.2242490000008"/>
    <n v="9590.4014220000008"/>
  </r>
  <r>
    <n v="212"/>
    <n v="20.0656"/>
    <n v="85.0916"/>
    <x v="0"/>
    <s v="NA"/>
    <n v="4"/>
    <n v="6292.68"/>
    <x v="11"/>
    <n v="3.75"/>
    <n v="21275.551080000001"/>
    <n v="20203.278408000002"/>
    <n v="18957.327767999999"/>
    <n v="17667.957636000003"/>
    <n v="16161.490044"/>
    <n v="16161.490044"/>
    <n v="23597.550000000003"/>
    <n v="23597.550000000003"/>
    <n v="23597.550000000003"/>
    <n v="23597.550000000003"/>
    <n v="22791.457692000004"/>
    <n v="22075.979976000002"/>
  </r>
  <r>
    <n v="213"/>
    <n v="20.066600000000001"/>
    <n v="85.090999999999994"/>
    <x v="0"/>
    <s v="NA"/>
    <n v="2"/>
    <n v="1139.55"/>
    <x v="11"/>
    <n v="1.75"/>
    <n v="1573.7185500000001"/>
    <n v="1379.5392299999999"/>
    <n v="1153.90833"/>
    <n v="920.41453499999989"/>
    <n v="647.60626500000001"/>
    <n v="647.60626500000001"/>
    <n v="1994.2124999999999"/>
    <n v="1994.2124999999999"/>
    <n v="1994.2124999999999"/>
    <n v="1994.2124999999999"/>
    <n v="1848.2361450000001"/>
    <n v="1718.66931"/>
  </r>
  <r>
    <n v="214"/>
    <n v="20.055399999999999"/>
    <n v="85.101100000000002"/>
    <x v="0"/>
    <s v="NA"/>
    <n v="2"/>
    <n v="676.09"/>
    <x v="11"/>
    <n v="1.75"/>
    <n v="933.68029000000001"/>
    <n v="818.47455400000001"/>
    <n v="684.60873400000003"/>
    <n v="546.07789300000002"/>
    <n v="384.22194700000006"/>
    <n v="384.22194700000006"/>
    <n v="1183.1575"/>
    <n v="1183.1575"/>
    <n v="1183.1575"/>
    <n v="1183.1575"/>
    <n v="1096.550371"/>
    <n v="1019.678938"/>
  </r>
  <r>
    <n v="215"/>
    <n v="20.0532"/>
    <n v="85.096400000000003"/>
    <x v="0"/>
    <s v="NA"/>
    <n v="3"/>
    <n v="1629.71"/>
    <x v="11"/>
    <n v="2.75"/>
    <n v="3880.3395100000002"/>
    <n v="3602.6369260000001"/>
    <n v="3279.954346"/>
    <n v="2946.0267670000003"/>
    <n v="2555.8741930000001"/>
    <n v="2555.8741930000001"/>
    <n v="4481.7025000000003"/>
    <n v="4481.7025000000003"/>
    <n v="4481.7025000000003"/>
    <n v="4481.7025000000003"/>
    <n v="4272.9366490000002"/>
    <n v="4087.6386219999999"/>
  </r>
  <r>
    <n v="216"/>
    <n v="20.049199999999999"/>
    <n v="85.095500000000001"/>
    <x v="0"/>
    <s v="NA"/>
    <n v="3"/>
    <n v="1447.74"/>
    <x v="11"/>
    <n v="2.75"/>
    <n v="3447.0689400000006"/>
    <n v="3200.3740439999997"/>
    <n v="2913.721524"/>
    <n v="2617.0795980000003"/>
    <n v="2270.4906420000002"/>
    <n v="2270.4906420000002"/>
    <n v="3981.2849999999999"/>
    <n v="3981.2849999999999"/>
    <n v="3981.2849999999999"/>
    <n v="3981.2849999999999"/>
    <n v="3795.829506"/>
    <n v="3631.2214680000002"/>
  </r>
  <r>
    <n v="217"/>
    <n v="20.021000000000001"/>
    <n v="85.0715"/>
    <x v="0"/>
    <s v="NA"/>
    <n v="4"/>
    <n v="6185.89"/>
    <x v="0"/>
    <n v="3.75"/>
    <n v="20914.494090000004"/>
    <n v="19860.418433999999"/>
    <n v="18635.612214000001"/>
    <n v="17368.123353000003"/>
    <n v="15887.221287"/>
    <n v="15887.221287"/>
    <n v="23197.087500000001"/>
    <n v="23197.087500000001"/>
    <n v="23197.087500000001"/>
    <n v="23197.087500000001"/>
    <n v="22404.674991000004"/>
    <n v="21701.339298000003"/>
  </r>
  <r>
    <n v="218"/>
    <n v="20.023"/>
    <n v="85.0779"/>
    <x v="0"/>
    <s v="NA"/>
    <n v="4"/>
    <n v="6139.27"/>
    <x v="0"/>
    <n v="3.75"/>
    <n v="20756.871870000003"/>
    <n v="19710.740261999999"/>
    <n v="18495.164801999999"/>
    <n v="17237.228379"/>
    <n v="15767.487141"/>
    <n v="15767.487141"/>
    <n v="23022.262500000001"/>
    <n v="23022.262500000001"/>
    <n v="23022.262500000001"/>
    <n v="23022.262500000001"/>
    <n v="22235.822013000001"/>
    <n v="21537.787014000001"/>
  </r>
  <r>
    <n v="219"/>
    <n v="20.0229"/>
    <n v="85.081100000000006"/>
    <x v="0"/>
    <s v="NA"/>
    <n v="3"/>
    <n v="7868.47"/>
    <x v="0"/>
    <n v="2.75"/>
    <n v="18734.827070000003"/>
    <n v="17394.039782"/>
    <n v="15836.082721999999"/>
    <n v="14223.833219000002"/>
    <n v="12340.121501000001"/>
    <n v="12340.121501000001"/>
    <n v="21638.2925"/>
    <n v="21638.2925"/>
    <n v="21638.2925"/>
    <n v="21638.2925"/>
    <n v="20630.341493"/>
    <n v="19735.696454000001"/>
  </r>
  <r>
    <n v="220"/>
    <n v="20.021999999999998"/>
    <n v="85.081100000000006"/>
    <x v="0"/>
    <s v="NA"/>
    <n v="3"/>
    <n v="4253.1899999999996"/>
    <x v="0"/>
    <n v="2.75"/>
    <n v="10126.84539"/>
    <n v="9402.1018139999978"/>
    <n v="8559.9701939999995"/>
    <n v="7688.4915629999996"/>
    <n v="6670.2778769999995"/>
    <n v="6670.2778769999995"/>
    <n v="11696.272499999999"/>
    <n v="11696.272499999999"/>
    <n v="11696.272499999999"/>
    <n v="11696.272499999999"/>
    <n v="11151.438860999999"/>
    <n v="10667.851157999999"/>
  </r>
  <r>
    <n v="221"/>
    <n v="20.020700000000001"/>
    <n v="85.081299999999999"/>
    <x v="0"/>
    <s v="NA"/>
    <n v="3"/>
    <n v="4829.04"/>
    <x v="0"/>
    <n v="2.75"/>
    <n v="11497.944240000001"/>
    <n v="10675.075824"/>
    <n v="9718.9259039999997"/>
    <n v="8729.4556080000002"/>
    <n v="7573.3834319999996"/>
    <n v="7573.3834319999996"/>
    <n v="13279.86"/>
    <n v="13279.86"/>
    <n v="13279.86"/>
    <n v="13279.86"/>
    <n v="12661.259976000001"/>
    <n v="12112.198128"/>
  </r>
  <r>
    <n v="222"/>
    <n v="20.0198"/>
    <n v="85.080500000000001"/>
    <x v="0"/>
    <s v="NA"/>
    <n v="3"/>
    <n v="5181.96"/>
    <x v="0"/>
    <n v="2.75"/>
    <n v="12338.246760000002"/>
    <n v="11455.240775999999"/>
    <n v="10429.212696000001"/>
    <n v="9367.4290920000003"/>
    <n v="8126.8678680000003"/>
    <n v="8126.8678680000003"/>
    <n v="14250.39"/>
    <n v="14250.39"/>
    <n v="14250.39"/>
    <n v="14250.39"/>
    <n v="13586.580924"/>
    <n v="12997.392072000001"/>
  </r>
  <r>
    <n v="223"/>
    <n v="20.018699999999999"/>
    <n v="85.08"/>
    <x v="0"/>
    <s v="NA"/>
    <n v="3"/>
    <n v="4290.66"/>
    <x v="0"/>
    <n v="2.75"/>
    <n v="10216.061460000001"/>
    <n v="9484.9329959999995"/>
    <n v="8635.3823159999993"/>
    <n v="7756.2260820000001"/>
    <n v="6729.0420779999995"/>
    <n v="6729.0420779999995"/>
    <n v="11799.314999999999"/>
    <n v="11799.314999999999"/>
    <n v="11799.314999999999"/>
    <n v="11799.314999999999"/>
    <n v="11249.681454"/>
    <n v="10761.833412"/>
  </r>
  <r>
    <n v="224"/>
    <n v="20.0227"/>
    <n v="85.088300000000004"/>
    <x v="0"/>
    <s v="NA"/>
    <n v="3"/>
    <n v="3220.79"/>
    <x v="0"/>
    <n v="2.75"/>
    <n v="7668.7009900000003"/>
    <n v="7119.8783739999999"/>
    <n v="6482.1619540000002"/>
    <n v="5822.2220830000006"/>
    <n v="5051.164957"/>
    <n v="5051.164957"/>
    <n v="8857.1725000000006"/>
    <n v="8857.1725000000006"/>
    <n v="8857.1725000000006"/>
    <n v="8857.1725000000006"/>
    <n v="8444.589301"/>
    <n v="8078.3854780000001"/>
  </r>
  <r>
    <n v="225"/>
    <n v="20.0259"/>
    <n v="85.085999999999999"/>
    <x v="0"/>
    <s v="NA"/>
    <n v="3"/>
    <n v="7760.06"/>
    <x v="0"/>
    <n v="2.75"/>
    <n v="18476.702860000001"/>
    <n v="17154.388636"/>
    <n v="15617.896756"/>
    <n v="14027.860462000001"/>
    <n v="12170.102098000001"/>
    <n v="12170.102098000001"/>
    <n v="21340.165000000001"/>
    <n v="21340.165000000001"/>
    <n v="21340.165000000001"/>
    <n v="21340.165000000001"/>
    <n v="20346.101314000003"/>
    <n v="19463.782492000002"/>
  </r>
  <r>
    <n v="226"/>
    <n v="20.027899999999999"/>
    <n v="85.087500000000006"/>
    <x v="0"/>
    <s v="NA"/>
    <n v="3"/>
    <n v="1507.35"/>
    <x v="0"/>
    <n v="2.75"/>
    <n v="3589.0003500000003"/>
    <n v="3332.1479099999997"/>
    <n v="3033.6926099999996"/>
    <n v="2724.8365949999998"/>
    <n v="2363.9770049999997"/>
    <n v="2363.9770049999997"/>
    <n v="4145.2124999999996"/>
    <n v="4145.2124999999996"/>
    <n v="4145.2124999999996"/>
    <n v="4145.2124999999996"/>
    <n v="3952.1209650000001"/>
    <n v="3780.7352699999997"/>
  </r>
  <r>
    <n v="227"/>
    <n v="20.027799999999999"/>
    <n v="85.088399999999993"/>
    <x v="0"/>
    <s v="NA"/>
    <n v="3"/>
    <n v="690.2"/>
    <x v="0"/>
    <n v="2.75"/>
    <n v="1643.3662000000002"/>
    <n v="1525.75612"/>
    <n v="1389.0965200000001"/>
    <n v="1247.6745400000002"/>
    <n v="1082.44066"/>
    <n v="1082.44066"/>
    <n v="1898.0500000000002"/>
    <n v="1898.0500000000002"/>
    <n v="1898.0500000000002"/>
    <n v="1898.0500000000002"/>
    <n v="1809.6353800000002"/>
    <n v="1731.1596400000001"/>
  </r>
  <r>
    <n v="228"/>
    <n v="20.028199999999998"/>
    <n v="85.088899999999995"/>
    <x v="0"/>
    <s v="NA"/>
    <n v="3"/>
    <n v="907.12"/>
    <x v="0"/>
    <n v="2.75"/>
    <n v="2159.8527200000003"/>
    <n v="2005.2794719999999"/>
    <n v="1825.6697119999999"/>
    <n v="1639.8008240000001"/>
    <n v="1422.6362960000001"/>
    <n v="1422.6362960000001"/>
    <n v="2494.58"/>
    <n v="2494.58"/>
    <n v="2494.58"/>
    <n v="2494.58"/>
    <n v="2378.3779280000003"/>
    <n v="2275.2383840000002"/>
  </r>
  <r>
    <n v="229"/>
    <n v="20.029"/>
    <n v="85.097800000000007"/>
    <x v="0"/>
    <s v="NA"/>
    <n v="4"/>
    <n v="8372.36"/>
    <x v="0"/>
    <n v="3.75"/>
    <n v="28306.949160000004"/>
    <n v="26880.299016000001"/>
    <n v="25222.571736000002"/>
    <n v="23507.075172000001"/>
    <n v="21502.732187999998"/>
    <n v="21502.732187999998"/>
    <n v="31396.350000000002"/>
    <n v="31396.350000000002"/>
    <n v="31396.350000000002"/>
    <n v="31396.350000000002"/>
    <n v="30323.850684000005"/>
    <n v="29371.913352000003"/>
  </r>
  <r>
    <n v="230"/>
    <n v="20.032599999999999"/>
    <n v="85.097800000000007"/>
    <x v="0"/>
    <s v="NA"/>
    <n v="3"/>
    <n v="1404.43"/>
    <x v="0"/>
    <n v="2.75"/>
    <n v="3343.9478300000005"/>
    <n v="3104.6329580000001"/>
    <n v="2826.5558180000003"/>
    <n v="2538.7881110000003"/>
    <n v="2202.5675690000003"/>
    <n v="2202.5675690000003"/>
    <n v="3862.1825000000003"/>
    <n v="3862.1825000000003"/>
    <n v="3862.1825000000003"/>
    <n v="3862.1825000000003"/>
    <n v="3682.2750170000004"/>
    <n v="3522.5913260000002"/>
  </r>
  <r>
    <n v="231"/>
    <n v="20.0336"/>
    <n v="85.102599999999995"/>
    <x v="0"/>
    <s v="NA"/>
    <n v="3"/>
    <n v="8908.77"/>
    <x v="0"/>
    <n v="2.75"/>
    <n v="21211.781370000004"/>
    <n v="19693.726962000001"/>
    <n v="17929.790502"/>
    <n v="16104.383529000001"/>
    <n v="13971.623991"/>
    <n v="13971.623991"/>
    <n v="24499.1175"/>
    <n v="24499.1175"/>
    <n v="24499.1175"/>
    <n v="24499.1175"/>
    <n v="23357.904063000002"/>
    <n v="22344.976914000003"/>
  </r>
  <r>
    <n v="232"/>
    <n v="20.032499999999999"/>
    <n v="85.102199999999996"/>
    <x v="0"/>
    <s v="NA"/>
    <n v="2"/>
    <n v="427.99"/>
    <x v="0"/>
    <n v="1.75"/>
    <n v="591.05419000000006"/>
    <n v="518.12469399999998"/>
    <n v="433.38267400000001"/>
    <n v="345.687523"/>
    <n v="243.22671700000001"/>
    <n v="243.22671700000001"/>
    <n v="748.98250000000007"/>
    <n v="748.98250000000007"/>
    <n v="748.98250000000007"/>
    <n v="748.98250000000007"/>
    <n v="694.15698100000009"/>
    <n v="645.49451799999997"/>
  </r>
  <r>
    <n v="233"/>
    <n v="20.0349"/>
    <n v="85.102199999999996"/>
    <x v="0"/>
    <s v="NA"/>
    <n v="2"/>
    <n v="1402.34"/>
    <x v="0"/>
    <n v="1.75"/>
    <n v="1936.6315399999999"/>
    <n v="1697.6728039999998"/>
    <n v="1420.0094839999999"/>
    <n v="1132.6700179999998"/>
    <n v="796.94982200000004"/>
    <n v="796.94982200000004"/>
    <n v="2454.0949999999998"/>
    <n v="2454.0949999999998"/>
    <n v="2454.0949999999998"/>
    <n v="2454.0949999999998"/>
    <n v="2274.455246"/>
    <n v="2115.009188"/>
  </r>
  <r>
    <n v="234"/>
    <n v="20.036100000000001"/>
    <n v="85.105599999999995"/>
    <x v="0"/>
    <s v="NA"/>
    <n v="2"/>
    <n v="2280.6"/>
    <x v="0"/>
    <n v="1.75"/>
    <n v="3149.5085999999997"/>
    <n v="2760.8943599999998"/>
    <n v="2309.33556"/>
    <n v="1842.0406199999998"/>
    <n v="1296.0649800000001"/>
    <n v="1296.0649800000001"/>
    <n v="3991.0499999999997"/>
    <n v="3991.0499999999997"/>
    <n v="3991.0499999999997"/>
    <n v="3991.0499999999997"/>
    <n v="3698.9051400000003"/>
    <n v="3439.6009199999999"/>
  </r>
  <r>
    <n v="235"/>
    <n v="20.036899999999999"/>
    <n v="85.107500000000002"/>
    <x v="0"/>
    <s v="NA"/>
    <n v="3"/>
    <n v="10268.75"/>
    <x v="0"/>
    <n v="2.75"/>
    <n v="24449.893750000003"/>
    <n v="22700.098749999997"/>
    <n v="20666.88625"/>
    <n v="18562.819374999999"/>
    <n v="16104.480625"/>
    <n v="16104.480625"/>
    <n v="28239.0625"/>
    <n v="28239.0625"/>
    <n v="28239.0625"/>
    <n v="28239.0625"/>
    <n v="26923.635625000003"/>
    <n v="25756.078750000001"/>
  </r>
  <r>
    <n v="236"/>
    <n v="20.038399999999999"/>
    <n v="85.11"/>
    <x v="0"/>
    <s v="NA"/>
    <n v="3"/>
    <n v="6099.25"/>
    <x v="0"/>
    <n v="2.75"/>
    <n v="14522.314250000001"/>
    <n v="13483.002049999999"/>
    <n v="12275.350549999999"/>
    <n v="11025.614225000001"/>
    <n v="9565.453775"/>
    <n v="9565.453775"/>
    <n v="16772.9375"/>
    <n v="16772.9375"/>
    <n v="16772.9375"/>
    <n v="16772.9375"/>
    <n v="15991.623575000001"/>
    <n v="15298.138849999999"/>
  </r>
  <r>
    <n v="237"/>
    <n v="20.037099999999999"/>
    <n v="85.111599999999996"/>
    <x v="0"/>
    <s v="NA"/>
    <n v="3"/>
    <n v="604.22"/>
    <x v="0"/>
    <n v="2.75"/>
    <n v="1438.6478200000001"/>
    <n v="1335.6887320000001"/>
    <n v="1216.0531720000001"/>
    <n v="1092.2484940000002"/>
    <n v="947.59822600000007"/>
    <n v="947.59822600000007"/>
    <n v="1661.605"/>
    <n v="1661.605"/>
    <n v="1661.605"/>
    <n v="1661.605"/>
    <n v="1584.204418"/>
    <n v="1515.504604"/>
  </r>
  <r>
    <n v="238"/>
    <n v="20.0381"/>
    <n v="85.114500000000007"/>
    <x v="0"/>
    <s v="NA"/>
    <n v="4"/>
    <n v="7102.55"/>
    <x v="0"/>
    <n v="3.75"/>
    <n v="24013.721550000002"/>
    <n v="22803.447029999999"/>
    <n v="21397.14213"/>
    <n v="19941.829635000002"/>
    <n v="18241.479165000001"/>
    <n v="18241.479165000001"/>
    <n v="26634.5625"/>
    <n v="26634.5625"/>
    <n v="26634.5625"/>
    <n v="26634.5625"/>
    <n v="25724.725845000001"/>
    <n v="24917.16591"/>
  </r>
  <r>
    <n v="239"/>
    <n v="20.036999999999999"/>
    <n v="85.114999999999995"/>
    <x v="0"/>
    <s v="NA"/>
    <n v="3"/>
    <n v="1633.59"/>
    <x v="0"/>
    <n v="2.75"/>
    <n v="3889.5777900000003"/>
    <n v="3611.2140539999996"/>
    <n v="3287.7632339999996"/>
    <n v="2953.0406429999998"/>
    <n v="2561.9591970000001"/>
    <n v="2561.9591970000001"/>
    <n v="4492.3724999999995"/>
    <n v="4492.3724999999995"/>
    <n v="4492.3724999999995"/>
    <n v="4492.3724999999995"/>
    <n v="4283.1096209999996"/>
    <n v="4097.3704379999999"/>
  </r>
  <r>
    <n v="240"/>
    <n v="20.039000000000001"/>
    <n v="85.112799999999993"/>
    <x v="0"/>
    <s v="NA"/>
    <n v="2"/>
    <n v="283.06"/>
    <x v="0"/>
    <n v="1.75"/>
    <n v="390.90586000000002"/>
    <n v="342.67243599999995"/>
    <n v="286.62655599999999"/>
    <n v="228.62756199999998"/>
    <n v="160.862998"/>
    <n v="160.862998"/>
    <n v="495.35500000000002"/>
    <n v="495.35500000000002"/>
    <n v="495.35500000000002"/>
    <n v="495.35500000000002"/>
    <n v="459.09501400000005"/>
    <n v="426.911092"/>
  </r>
  <r>
    <n v="241"/>
    <n v="20.012"/>
    <n v="85.083799999999997"/>
    <x v="0"/>
    <s v="NA"/>
    <n v="2"/>
    <n v="807.12"/>
    <x v="1"/>
    <n v="1.75"/>
    <n v="1114.6327200000001"/>
    <n v="977.09947199999988"/>
    <n v="817.28971200000001"/>
    <n v="651.91082399999993"/>
    <n v="458.68629600000003"/>
    <n v="458.68629600000003"/>
    <n v="1412.46"/>
    <n v="1412.46"/>
    <n v="1412.46"/>
    <n v="1412.46"/>
    <n v="1309.0679280000002"/>
    <n v="1217.2983839999999"/>
  </r>
  <r>
    <n v="242"/>
    <n v="20.017800000000001"/>
    <n v="85.085599999999999"/>
    <x v="0"/>
    <s v="NA"/>
    <n v="2"/>
    <n v="263.54000000000002"/>
    <x v="1"/>
    <n v="1.75"/>
    <n v="363.94874000000004"/>
    <n v="319.04152399999998"/>
    <n v="266.86060400000002"/>
    <n v="212.86125800000002"/>
    <n v="149.76978200000002"/>
    <n v="149.76978200000002"/>
    <n v="461.19500000000005"/>
    <n v="461.19500000000005"/>
    <n v="461.19500000000005"/>
    <n v="461.19500000000005"/>
    <n v="427.43552600000004"/>
    <n v="397.47102800000005"/>
  </r>
  <r>
    <n v="243"/>
    <n v="20.021999999999998"/>
    <n v="85.102400000000003"/>
    <x v="0"/>
    <s v="NA"/>
    <n v="4"/>
    <n v="1211.47"/>
    <x v="1"/>
    <n v="3.75"/>
    <n v="4095.9800700000005"/>
    <n v="3889.5455819999997"/>
    <n v="3649.6745219999998"/>
    <n v="3401.4443190000002"/>
    <n v="3111.4184009999999"/>
    <n v="3111.4184009999999"/>
    <n v="4543.0124999999998"/>
    <n v="4543.0124999999998"/>
    <n v="4543.0124999999998"/>
    <n v="4543.0124999999998"/>
    <n v="4387.8231930000002"/>
    <n v="4250.0790539999998"/>
  </r>
  <r>
    <n v="244"/>
    <n v="20.022500000000001"/>
    <n v="85.102500000000006"/>
    <x v="0"/>
    <s v="NA"/>
    <n v="4"/>
    <n v="2633.12"/>
    <x v="1"/>
    <n v="3.75"/>
    <n v="8902.5787199999995"/>
    <n v="8453.8950719999993"/>
    <n v="7932.5373119999995"/>
    <n v="7393.0110240000004"/>
    <n v="6762.6420959999996"/>
    <n v="6762.6420959999996"/>
    <n v="9874.1999999999989"/>
    <n v="9874.1999999999989"/>
    <n v="9874.1999999999989"/>
    <n v="9874.1999999999989"/>
    <n v="9536.8973279999991"/>
    <n v="9237.5115839999999"/>
  </r>
  <r>
    <n v="245"/>
    <n v="20.027100000000001"/>
    <n v="85.1023"/>
    <x v="0"/>
    <s v="NA"/>
    <n v="4"/>
    <n v="8810.5300000000007"/>
    <x v="1"/>
    <n v="3.75"/>
    <n v="29788.401930000004"/>
    <n v="28287.087618000001"/>
    <n v="26542.602678000003"/>
    <n v="24737.325081000003"/>
    <n v="22628.084199000001"/>
    <n v="22628.084199000001"/>
    <n v="33039.487500000003"/>
    <n v="33039.487500000003"/>
    <n v="33039.487500000003"/>
    <n v="33039.487500000003"/>
    <n v="31910.858607000002"/>
    <n v="30909.101346000003"/>
  </r>
  <r>
    <n v="246"/>
    <n v="20.03"/>
    <n v="85.101299999999995"/>
    <x v="0"/>
    <s v="NA"/>
    <n v="4"/>
    <n v="12278.69"/>
    <x v="1"/>
    <n v="3.75"/>
    <n v="41514.250890000003"/>
    <n v="39421.962114000002"/>
    <n v="36990.781494000003"/>
    <n v="34474.877913000004"/>
    <n v="31535.359527000001"/>
    <n v="31535.359527000001"/>
    <n v="46045.087500000001"/>
    <n v="46045.087500000001"/>
    <n v="46045.087500000001"/>
    <n v="46045.087500000001"/>
    <n v="44472.187311000002"/>
    <n v="43076.100257999999"/>
  </r>
  <r>
    <n v="247"/>
    <n v="20.032299999999999"/>
    <n v="85.104799999999997"/>
    <x v="0"/>
    <s v="NA"/>
    <n v="3"/>
    <n v="4675.3599999999997"/>
    <x v="1"/>
    <n v="2.75"/>
    <n v="11132.032160000001"/>
    <n v="10335.350815999998"/>
    <n v="9409.6295359999986"/>
    <n v="8451.6482720000004"/>
    <n v="7332.367088"/>
    <n v="7332.367088"/>
    <n v="12857.24"/>
    <n v="12857.24"/>
    <n v="12857.24"/>
    <n v="12857.24"/>
    <n v="12258.326384"/>
    <n v="11726.737951999999"/>
  </r>
  <r>
    <n v="248"/>
    <n v="20.032299999999999"/>
    <n v="85.109200000000001"/>
    <x v="0"/>
    <s v="NA"/>
    <n v="3"/>
    <n v="3974.62"/>
    <x v="1"/>
    <n v="2.75"/>
    <n v="9463.5702200000014"/>
    <n v="8786.2949719999997"/>
    <n v="7999.3202119999996"/>
    <n v="7184.9205739999998"/>
    <n v="6233.3965459999999"/>
    <n v="6233.3965459999999"/>
    <n v="10930.205"/>
    <n v="10930.205"/>
    <n v="10930.205"/>
    <n v="10930.205"/>
    <n v="10421.056178000001"/>
    <n v="9969.1418840000006"/>
  </r>
  <r>
    <n v="249"/>
    <n v="20.032499999999999"/>
    <n v="85.115200000000002"/>
    <x v="0"/>
    <s v="NA"/>
    <n v="3.5"/>
    <n v="5042.4799999999996"/>
    <x v="1"/>
    <n v="3.25"/>
    <n v="14527.38488"/>
    <n v="13668.146287999998"/>
    <n v="12669.735247999999"/>
    <n v="11636.531095999999"/>
    <n v="10429.361383999998"/>
    <n v="10429.361383999998"/>
    <n v="16388.059999999998"/>
    <n v="16388.059999999998"/>
    <n v="16388.059999999998"/>
    <n v="16388.059999999998"/>
    <n v="15742.118311999999"/>
    <n v="15168.788335999998"/>
  </r>
  <r>
    <n v="250"/>
    <n v="20.032599999999999"/>
    <n v="85.118300000000005"/>
    <x v="0"/>
    <s v="NA"/>
    <n v="4"/>
    <n v="2273.3200000000002"/>
    <x v="1"/>
    <n v="3.75"/>
    <n v="7686.0949200000014"/>
    <n v="7298.721192"/>
    <n v="6848.6038320000007"/>
    <n v="6382.800564000001"/>
    <n v="5838.5677560000004"/>
    <n v="5838.5677560000004"/>
    <n v="8524.9500000000007"/>
    <n v="8524.9500000000007"/>
    <n v="8524.9500000000007"/>
    <n v="8524.9500000000007"/>
    <n v="8233.7377080000006"/>
    <n v="7975.2612240000008"/>
  </r>
  <r>
    <n v="251"/>
    <n v="20.031500000000001"/>
    <n v="85.12"/>
    <x v="0"/>
    <s v="NA"/>
    <n v="4"/>
    <n v="5983.81"/>
    <x v="1"/>
    <n v="3.75"/>
    <n v="20231.261610000001"/>
    <n v="19211.620386000002"/>
    <n v="18026.826005999999"/>
    <n v="16800.743337"/>
    <n v="15368.219223"/>
    <n v="15368.219223"/>
    <n v="22439.287500000002"/>
    <n v="22439.287500000002"/>
    <n v="22439.287500000002"/>
    <n v="22439.287500000002"/>
    <n v="21672.761439000002"/>
    <n v="20992.402242"/>
  </r>
  <r>
    <n v="252"/>
    <n v="20.0322"/>
    <n v="85.12"/>
    <x v="0"/>
    <s v="NA"/>
    <n v="3"/>
    <n v="917.97"/>
    <x v="1"/>
    <n v="2.75"/>
    <n v="2185.6865700000003"/>
    <n v="2029.264482"/>
    <n v="1847.5064219999999"/>
    <n v="1659.4143690000001"/>
    <n v="1439.6523510000002"/>
    <n v="1439.6523510000002"/>
    <n v="2524.4175"/>
    <n v="2524.4175"/>
    <n v="2524.4175"/>
    <n v="2524.4175"/>
    <n v="2406.8255430000004"/>
    <n v="2302.452354"/>
  </r>
  <r>
    <n v="253"/>
    <n v="20.028300000000002"/>
    <n v="85.120599999999996"/>
    <x v="0"/>
    <s v="NA"/>
    <n v="3"/>
    <n v="3690.95"/>
    <x v="1"/>
    <n v="2.75"/>
    <n v="8788.1519500000013"/>
    <n v="8159.2140699999991"/>
    <n v="7428.4059699999998"/>
    <n v="6672.1303150000003"/>
    <n v="5788.516885"/>
    <n v="5788.516885"/>
    <n v="10150.112499999999"/>
    <n v="10150.112499999999"/>
    <n v="10150.112499999999"/>
    <n v="10150.112499999999"/>
    <n v="9677.3018049999991"/>
    <n v="9257.6407899999995"/>
  </r>
  <r>
    <n v="254"/>
    <n v="20.027699999999999"/>
    <n v="85.120599999999996"/>
    <x v="0"/>
    <s v="NA"/>
    <n v="3"/>
    <n v="735.19"/>
    <x v="1"/>
    <n v="2.75"/>
    <n v="1750.4873900000002"/>
    <n v="1625.211014"/>
    <n v="1479.6433940000002"/>
    <n v="1329.0029630000001"/>
    <n v="1152.9984770000001"/>
    <n v="1152.9984770000001"/>
    <n v="2021.7725"/>
    <n v="2021.7725"/>
    <n v="2021.7725"/>
    <n v="2021.7725"/>
    <n v="1927.5946610000003"/>
    <n v="1844.0035580000001"/>
  </r>
  <r>
    <n v="255"/>
    <n v="20.0276"/>
    <n v="85.1203"/>
    <x v="0"/>
    <s v="NA"/>
    <n v="3"/>
    <n v="1606.96"/>
    <x v="1"/>
    <n v="2.75"/>
    <n v="3826.1717600000006"/>
    <n v="3552.3457760000001"/>
    <n v="3234.167696"/>
    <n v="2904.9015920000002"/>
    <n v="2520.1953680000001"/>
    <n v="2520.1953680000001"/>
    <n v="4419.1400000000003"/>
    <n v="4419.1400000000003"/>
    <n v="4419.1400000000003"/>
    <n v="4419.1400000000003"/>
    <n v="4213.2884240000003"/>
    <n v="4030.577072"/>
  </r>
  <r>
    <n v="256"/>
    <n v="20.032399999999999"/>
    <n v="85.121600000000001"/>
    <x v="0"/>
    <s v="NA"/>
    <n v="3"/>
    <n v="1804.52"/>
    <x v="10"/>
    <n v="2.75"/>
    <n v="4296.5621200000005"/>
    <n v="3989.0719119999999"/>
    <n v="3631.7769519999997"/>
    <n v="3262.030804"/>
    <n v="2830.0287159999998"/>
    <n v="2830.0287159999998"/>
    <n v="4962.43"/>
    <n v="4962.43"/>
    <n v="4962.43"/>
    <n v="4962.43"/>
    <n v="4731.2709880000002"/>
    <n v="4526.0970639999996"/>
  </r>
  <r>
    <n v="257"/>
    <n v="20.036799999999999"/>
    <n v="85.118799999999993"/>
    <x v="0"/>
    <s v="NA"/>
    <n v="4"/>
    <n v="3390.84"/>
    <x v="10"/>
    <n v="3.75"/>
    <n v="11464.430040000001"/>
    <n v="10886.630904"/>
    <n v="10215.244584"/>
    <n v="9520.4614680000013"/>
    <n v="8708.6943719999999"/>
    <n v="8708.6943719999999"/>
    <n v="12715.650000000001"/>
    <n v="12715.650000000001"/>
    <n v="12715.650000000001"/>
    <n v="12715.650000000001"/>
    <n v="12281.283396000001"/>
    <n v="11895.744888000001"/>
  </r>
  <r>
    <n v="258"/>
    <n v="20.043299999999999"/>
    <n v="85.123599999999996"/>
    <x v="0"/>
    <s v="NA"/>
    <n v="4"/>
    <n v="6520.01"/>
    <x v="10"/>
    <n v="3.75"/>
    <n v="22044.153810000003"/>
    <n v="20933.144106"/>
    <n v="19642.182126"/>
    <n v="18306.232077000001"/>
    <n v="16745.341682999999"/>
    <n v="16745.341682999999"/>
    <n v="24450.037500000002"/>
    <n v="24450.037500000002"/>
    <n v="24450.037500000002"/>
    <n v="24450.037500000002"/>
    <n v="23614.824219000002"/>
    <n v="22873.499082000002"/>
  </r>
  <r>
    <n v="259"/>
    <n v="20.043800000000001"/>
    <n v="85.125200000000007"/>
    <x v="0"/>
    <s v="NA"/>
    <n v="2"/>
    <n v="2467.36"/>
    <x v="10"/>
    <n v="1.75"/>
    <n v="3407.42416"/>
    <n v="2986.9860159999998"/>
    <n v="2498.4487359999998"/>
    <n v="1992.8866720000001"/>
    <n v="1402.2006880000001"/>
    <n v="1402.2006880000001"/>
    <n v="4317.88"/>
    <n v="4317.88"/>
    <n v="4317.88"/>
    <n v="4317.88"/>
    <n v="4001.8111840000006"/>
    <n v="3721.272352"/>
  </r>
  <r>
    <n v="260"/>
    <n v="20.041399999999999"/>
    <n v="85.127700000000004"/>
    <x v="0"/>
    <s v="NA"/>
    <n v="3"/>
    <n v="7564.58"/>
    <x v="10"/>
    <n v="2.75"/>
    <n v="18011.26498"/>
    <n v="16722.260547999998"/>
    <n v="15224.473708"/>
    <n v="13674.491266000001"/>
    <n v="11863.530814"/>
    <n v="11863.530814"/>
    <n v="20802.595000000001"/>
    <n v="20802.595000000001"/>
    <n v="20802.595000000001"/>
    <n v="20802.595000000001"/>
    <n v="19833.572302"/>
    <n v="18973.479555999998"/>
  </r>
  <r>
    <n v="261"/>
    <n v="20.0428"/>
    <n v="85.126800000000003"/>
    <x v="0"/>
    <s v="NA"/>
    <n v="2"/>
    <n v="1402.35"/>
    <x v="10"/>
    <n v="1.75"/>
    <n v="1936.6453499999998"/>
    <n v="1697.6849099999997"/>
    <n v="1420.0196099999998"/>
    <n v="1132.678095"/>
    <n v="796.95550500000002"/>
    <n v="796.95550500000002"/>
    <n v="2454.1124999999997"/>
    <n v="2454.1124999999997"/>
    <n v="2454.1124999999997"/>
    <n v="2454.1124999999997"/>
    <n v="2274.4714650000001"/>
    <n v="2115.0242699999999"/>
  </r>
  <r>
    <n v="262"/>
    <n v="20.048300000000001"/>
    <n v="85.134200000000007"/>
    <x v="0"/>
    <s v="NA"/>
    <n v="3"/>
    <n v="10991.71"/>
    <x v="10"/>
    <n v="2.75"/>
    <n v="26171.26151"/>
    <n v="24298.274125999997"/>
    <n v="22121.915545999997"/>
    <n v="19869.714166999998"/>
    <n v="17238.298792999998"/>
    <n v="17238.298792999998"/>
    <n v="30227.202499999999"/>
    <n v="30227.202499999999"/>
    <n v="30227.202499999999"/>
    <n v="30227.202499999999"/>
    <n v="28819.164449"/>
    <n v="27569.407021999999"/>
  </r>
  <r>
    <n v="263"/>
    <n v="20.039000000000001"/>
    <n v="85.134699999999995"/>
    <x v="0"/>
    <s v="NA"/>
    <n v="2"/>
    <n v="2149.75"/>
    <x v="10"/>
    <n v="1.75"/>
    <n v="2968.8047499999998"/>
    <n v="2602.4873499999999"/>
    <n v="2176.8368499999997"/>
    <n v="1736.353075"/>
    <n v="1221.7029250000001"/>
    <n v="1221.7029250000001"/>
    <n v="3762.0625"/>
    <n v="3762.0625"/>
    <n v="3762.0625"/>
    <n v="3762.0625"/>
    <n v="3486.6795250000005"/>
    <n v="3242.2529500000001"/>
  </r>
  <r>
    <n v="264"/>
    <n v="20.0474"/>
    <n v="85.131299999999996"/>
    <x v="0"/>
    <s v="NA"/>
    <n v="2"/>
    <n v="9033.7000000000007"/>
    <x v="10"/>
    <n v="1.75"/>
    <n v="12475.539700000001"/>
    <n v="10936.19722"/>
    <n v="9147.5246200000001"/>
    <n v="7296.5194900000006"/>
    <n v="5133.8517100000008"/>
    <n v="5133.8517100000008"/>
    <n v="15808.975000000002"/>
    <n v="15808.975000000002"/>
    <n v="15808.975000000002"/>
    <n v="15808.975000000002"/>
    <n v="14651.758030000003"/>
    <n v="13624.626340000001"/>
  </r>
  <r>
    <n v="265"/>
    <n v="20.049199999999999"/>
    <n v="85.141300000000001"/>
    <x v="0"/>
    <s v="NA"/>
    <n v="2"/>
    <n v="7909.18"/>
    <x v="10"/>
    <n v="1.75"/>
    <n v="10922.577580000001"/>
    <n v="9574.8533079999997"/>
    <n v="8008.8356679999997"/>
    <n v="6388.244686"/>
    <n v="4494.786994"/>
    <n v="4494.786994"/>
    <n v="13841.065000000001"/>
    <n v="13841.065000000001"/>
    <n v="13841.065000000001"/>
    <n v="13841.065000000001"/>
    <n v="12827.899042000001"/>
    <n v="11928.625276000001"/>
  </r>
  <r>
    <n v="266"/>
    <n v="20.053699999999999"/>
    <n v="85.1417"/>
    <x v="0"/>
    <s v="NA"/>
    <n v="2"/>
    <n v="4243.91"/>
    <x v="10"/>
    <n v="1.75"/>
    <n v="5860.8397100000002"/>
    <n v="5137.6774459999997"/>
    <n v="4297.3832659999998"/>
    <n v="3427.8061069999999"/>
    <n v="2411.8140530000001"/>
    <n v="2411.8140530000001"/>
    <n v="7426.8424999999997"/>
    <n v="7426.8424999999997"/>
    <n v="7426.8424999999997"/>
    <n v="7426.8424999999997"/>
    <n v="6883.1976290000002"/>
    <n v="6400.665062"/>
  </r>
  <r>
    <n v="267"/>
    <n v="20.0579"/>
    <n v="85.152100000000004"/>
    <x v="0"/>
    <s v="NA"/>
    <n v="4"/>
    <n v="472.47"/>
    <x v="10"/>
    <n v="3.75"/>
    <n v="1597.4210700000001"/>
    <n v="1516.912182"/>
    <n v="1423.363122"/>
    <n v="1326.5540190000002"/>
    <n v="1213.4447009999999"/>
    <n v="1213.4447009999999"/>
    <n v="1771.7625"/>
    <n v="1771.7625"/>
    <n v="1771.7625"/>
    <n v="1771.7625"/>
    <n v="1711.2390930000001"/>
    <n v="1657.519254"/>
  </r>
  <r>
    <n v="268"/>
    <n v="20.0593"/>
    <n v="85.154399999999995"/>
    <x v="0"/>
    <s v="NA"/>
    <n v="4"/>
    <n v="3268.31"/>
    <x v="10"/>
    <n v="3.75"/>
    <n v="11050.15611"/>
    <n v="10493.236085999999"/>
    <n v="9846.1107059999995"/>
    <n v="9176.4339870000003"/>
    <n v="8394.0005729999993"/>
    <n v="8394.0005729999993"/>
    <n v="12256.1625"/>
    <n v="12256.1625"/>
    <n v="12256.1625"/>
    <n v="12256.1625"/>
    <n v="11837.491989"/>
    <n v="11465.885141999999"/>
  </r>
  <r>
    <n v="269"/>
    <n v="20.062100000000001"/>
    <n v="85.158299999999997"/>
    <x v="0"/>
    <s v="NA"/>
    <n v="4"/>
    <n v="1721.74"/>
    <x v="10"/>
    <n v="3.75"/>
    <n v="5821.2029400000001"/>
    <n v="5527.8184439999995"/>
    <n v="5186.9139239999995"/>
    <n v="4834.129398"/>
    <n v="4421.9448419999999"/>
    <n v="4421.9448419999999"/>
    <n v="6456.5249999999996"/>
    <n v="6456.5249999999996"/>
    <n v="6456.5249999999996"/>
    <n v="6456.5249999999996"/>
    <n v="6235.9701060000007"/>
    <n v="6040.2082680000003"/>
  </r>
  <r>
    <n v="270"/>
    <n v="20.064699999999998"/>
    <n v="85.162199999999999"/>
    <x v="0"/>
    <s v="NA"/>
    <n v="2"/>
    <n v="574.84"/>
    <x v="10"/>
    <n v="1.75"/>
    <n v="793.85404000000005"/>
    <n v="695.90130399999998"/>
    <n v="582.08298400000001"/>
    <n v="464.29826800000001"/>
    <n v="326.68157200000002"/>
    <n v="326.68157200000002"/>
    <n v="1005.97"/>
    <n v="1005.97"/>
    <n v="1005.97"/>
    <n v="1005.97"/>
    <n v="932.33299600000009"/>
    <n v="866.97368800000004"/>
  </r>
  <r>
    <n v="271"/>
    <n v="20.066700000000001"/>
    <n v="85.163200000000003"/>
    <x v="0"/>
    <s v="NA"/>
    <n v="4"/>
    <n v="9539.08"/>
    <x v="10"/>
    <n v="3.75"/>
    <n v="32251.629480000003"/>
    <n v="30626.170247999999"/>
    <n v="28737.432408000001"/>
    <n v="26782.874916000001"/>
    <n v="24499.219163999998"/>
    <n v="24499.219163999998"/>
    <n v="35771.550000000003"/>
    <n v="35771.550000000003"/>
    <n v="35771.550000000003"/>
    <n v="35771.550000000003"/>
    <n v="34549.593851999998"/>
    <n v="33465.000456000002"/>
  </r>
  <r>
    <n v="272"/>
    <n v="20.007899999999999"/>
    <n v="84.971299999999999"/>
    <x v="0"/>
    <s v="NA"/>
    <n v="2"/>
    <n v="554.70000000000005"/>
    <x v="2"/>
    <n v="1.75"/>
    <n v="766.04070000000002"/>
    <n v="671.51981999999998"/>
    <n v="561.68921999999998"/>
    <n v="448.03119000000004"/>
    <n v="315.23601000000002"/>
    <n v="315.23601000000002"/>
    <n v="970.72500000000014"/>
    <n v="970.72500000000014"/>
    <n v="970.72500000000014"/>
    <n v="970.72500000000014"/>
    <n v="899.66793000000018"/>
    <n v="836.59854000000007"/>
  </r>
  <r>
    <n v="273"/>
    <n v="20.0336"/>
    <n v="84.9619"/>
    <x v="0"/>
    <s v="NA"/>
    <n v="2.5"/>
    <n v="1216.56"/>
    <x v="2"/>
    <n v="2.25"/>
    <n v="2288.3493599999997"/>
    <n v="2081.0475359999996"/>
    <n v="1840.1686559999998"/>
    <n v="1590.8955120000001"/>
    <n v="1299.6510479999999"/>
    <n v="1299.6510479999999"/>
    <n v="2737.2599999999998"/>
    <n v="2737.2599999999998"/>
    <n v="2737.2599999999998"/>
    <n v="2737.2599999999998"/>
    <n v="2581.4186639999998"/>
    <n v="2443.0957920000001"/>
  </r>
  <r>
    <n v="274"/>
    <n v="20.0334"/>
    <n v="84.97"/>
    <x v="0"/>
    <s v="NA"/>
    <n v="3"/>
    <n v="4255.91"/>
    <x v="2"/>
    <n v="2.75"/>
    <n v="10133.32171"/>
    <n v="9408.114646"/>
    <n v="8565.444465999999"/>
    <n v="7693.4085070000001"/>
    <n v="6674.5436529999997"/>
    <n v="6674.5436529999997"/>
    <n v="11703.752499999999"/>
    <n v="11703.752499999999"/>
    <n v="11703.752499999999"/>
    <n v="11703.752499999999"/>
    <n v="11158.570428999999"/>
    <n v="10674.673461999999"/>
  </r>
  <r>
    <n v="275"/>
    <n v="20.032900000000001"/>
    <n v="84.977599999999995"/>
    <x v="0"/>
    <s v="NA"/>
    <n v="2"/>
    <n v="140.15"/>
    <x v="6"/>
    <n v="1.75"/>
    <n v="193.54715000000002"/>
    <n v="169.66558999999998"/>
    <n v="141.91588999999999"/>
    <n v="113.199155"/>
    <n v="79.647245000000012"/>
    <n v="79.647245000000012"/>
    <n v="245.26250000000002"/>
    <n v="245.26250000000002"/>
    <n v="245.26250000000002"/>
    <n v="245.26250000000002"/>
    <n v="227.30928500000002"/>
    <n v="211.37423000000001"/>
  </r>
  <r>
    <n v="276"/>
    <n v="20.059000000000001"/>
    <n v="85.026399999999995"/>
    <x v="0"/>
    <s v="NA"/>
    <n v="3"/>
    <n v="4324.63"/>
    <x v="3"/>
    <n v="2.75"/>
    <n v="10296.944030000001"/>
    <n v="9560.0270779999992"/>
    <n v="8703.7503379999998"/>
    <n v="7817.633651000001"/>
    <n v="6782.3172290000002"/>
    <n v="6782.3172290000002"/>
    <n v="11892.7325"/>
    <n v="11892.7325"/>
    <n v="11892.7325"/>
    <n v="11892.7325"/>
    <n v="11338.747397000001"/>
    <n v="10847.036966"/>
  </r>
  <r>
    <n v="277"/>
    <n v="20.053799999999999"/>
    <n v="85.031700000000001"/>
    <x v="0"/>
    <s v="NA"/>
    <n v="2"/>
    <n v="612.29"/>
    <x v="3"/>
    <n v="1.75"/>
    <n v="845.5724899999999"/>
    <n v="741.23827399999993"/>
    <n v="620.00485399999991"/>
    <n v="494.54663299999993"/>
    <n v="347.96440699999999"/>
    <n v="347.96440699999999"/>
    <n v="1071.5074999999999"/>
    <n v="1071.5074999999999"/>
    <n v="1071.5074999999999"/>
    <n v="1071.5074999999999"/>
    <n v="993.07315100000005"/>
    <n v="923.4557779999999"/>
  </r>
  <r>
    <n v="278"/>
    <n v="20.024100000000001"/>
    <n v="85.108699999999999"/>
    <x v="0"/>
    <s v="NA"/>
    <n v="3"/>
    <n v="2903.95"/>
    <x v="1"/>
    <n v="2.75"/>
    <n v="6914.3049500000006"/>
    <n v="6419.4718699999994"/>
    <n v="5844.4897699999992"/>
    <n v="5249.4704149999998"/>
    <n v="4554.2647849999994"/>
    <n v="4554.2647849999994"/>
    <n v="7985.8624999999993"/>
    <n v="7985.8624999999993"/>
    <n v="7985.8624999999993"/>
    <n v="7985.8624999999993"/>
    <n v="7613.866505"/>
    <n v="7283.6873899999991"/>
  </r>
  <r>
    <n v="279"/>
    <n v="20.051100000000002"/>
    <n v="85.146000000000001"/>
    <x v="0"/>
    <s v="NA"/>
    <n v="2"/>
    <n v="263.58"/>
    <x v="10"/>
    <n v="1.75"/>
    <n v="364.00397999999996"/>
    <n v="319.08994799999994"/>
    <n v="266.90110799999997"/>
    <n v="212.89356599999999"/>
    <n v="149.79251400000001"/>
    <n v="149.79251400000001"/>
    <n v="461.26499999999999"/>
    <n v="461.26499999999999"/>
    <n v="461.26499999999999"/>
    <n v="461.26499999999999"/>
    <n v="427.50040200000001"/>
    <n v="397.53135599999996"/>
  </r>
  <r>
    <n v="280"/>
    <n v="20.051300000000001"/>
    <n v="85.146299999999997"/>
    <x v="0"/>
    <s v="NA"/>
    <n v="2"/>
    <n v="407.06"/>
    <x v="10"/>
    <n v="1.75"/>
    <n v="562.14985999999999"/>
    <n v="492.78683599999994"/>
    <n v="412.18895599999996"/>
    <n v="328.78236199999998"/>
    <n v="231.33219800000001"/>
    <n v="231.33219800000001"/>
    <n v="712.35500000000002"/>
    <n v="712.35500000000002"/>
    <n v="712.35500000000002"/>
    <n v="712.35500000000002"/>
    <n v="660.21061400000008"/>
    <n v="613.92789200000004"/>
  </r>
  <r>
    <n v="281"/>
    <n v="20.052299999999999"/>
    <n v="85.143699999999995"/>
    <x v="0"/>
    <s v="NA"/>
    <n v="2"/>
    <n v="773.85"/>
    <x v="10"/>
    <n v="1.75"/>
    <n v="1068.68685"/>
    <n v="936.82281"/>
    <n v="783.60050999999999"/>
    <n v="625.03864499999997"/>
    <n v="439.77895500000005"/>
    <n v="439.77895500000005"/>
    <n v="1354.2375"/>
    <n v="1354.2375"/>
    <n v="1354.2375"/>
    <n v="1354.2375"/>
    <n v="1255.1073150000002"/>
    <n v="1167.12057"/>
  </r>
  <r>
    <n v="282"/>
    <n v="20.0336"/>
    <n v="85.086799999999997"/>
    <x v="0"/>
    <s v="NA"/>
    <n v="4"/>
    <n v="579.34"/>
    <x v="9"/>
    <n v="3.75"/>
    <n v="1958.7485400000003"/>
    <n v="1860.029004"/>
    <n v="1745.3196840000001"/>
    <n v="1626.612918"/>
    <n v="1487.9189220000001"/>
    <n v="1487.9189220000001"/>
    <n v="2172.5250000000001"/>
    <n v="2172.5250000000001"/>
    <n v="2172.5250000000001"/>
    <n v="2172.5250000000001"/>
    <n v="2098.3115460000004"/>
    <n v="2032.4405880000002"/>
  </r>
  <r>
    <n v="283"/>
    <n v="20.020099999999999"/>
    <n v="85.066500000000005"/>
    <x v="0"/>
    <s v="NA"/>
    <n v="3"/>
    <n v="1809.96"/>
    <x v="8"/>
    <n v="2.75"/>
    <n v="4309.5147600000009"/>
    <n v="4001.0975760000001"/>
    <n v="3642.725496"/>
    <n v="3271.8646920000001"/>
    <n v="2838.5602680000002"/>
    <n v="2838.5602680000002"/>
    <n v="4977.3900000000003"/>
    <n v="4977.3900000000003"/>
    <n v="4977.3900000000003"/>
    <n v="4977.3900000000003"/>
    <n v="4745.5341240000007"/>
    <n v="4539.7416720000001"/>
  </r>
  <r>
    <n v="284"/>
    <n v="20.03829"/>
    <n v="84.978359999999995"/>
    <x v="1"/>
    <s v="Odogaon_MCD1"/>
    <n v="0.5"/>
    <n v="348.21050000000002"/>
    <x v="6"/>
    <n v="0.25"/>
    <n v="0"/>
    <n v="0"/>
    <n v="0"/>
    <n v="0"/>
    <n v="0"/>
    <n v="0"/>
    <n v="87.052625000000006"/>
    <n v="87.052625000000006"/>
    <n v="87.052625000000006"/>
    <n v="87.052625000000006"/>
    <n v="42.446859950000004"/>
    <n v="2.8553260999999952"/>
  </r>
  <r>
    <n v="285"/>
    <n v="20.02627"/>
    <n v="85.106560000000002"/>
    <x v="1"/>
    <s v="Dhusuma Check Dam"/>
    <n v="1.5"/>
    <n v="6612.8860000000004"/>
    <x v="1"/>
    <n v="1.25"/>
    <n v="5825.9525660000008"/>
    <n v="4699.1167916000004"/>
    <n v="3389.7653636"/>
    <n v="2034.7850222"/>
    <n v="451.6601138000002"/>
    <n v="451.6601138000002"/>
    <n v="8266.1075000000001"/>
    <n v="8266.1075000000001"/>
    <n v="8266.1075000000001"/>
    <n v="8266.1075000000001"/>
    <n v="7418.9968034000012"/>
    <n v="6667.1116652000001"/>
  </r>
  <r>
    <n v="286"/>
    <n v="20.016660000000002"/>
    <n v="85.004230000000007"/>
    <x v="1"/>
    <s v="Rabra Check Dam-1"/>
    <n v="1"/>
    <n v="623.87940000000003"/>
    <x v="4"/>
    <n v="0.75"/>
    <n v="237.69805140000003"/>
    <n v="131.38900164"/>
    <n v="7.8608804399999661"/>
    <n v="0"/>
    <n v="0"/>
    <n v="0"/>
    <n v="467.90955000000002"/>
    <n v="467.90955000000002"/>
    <n v="467.90955000000002"/>
    <n v="467.90955000000002"/>
    <n v="387.99059886000003"/>
    <n v="317.05551108000003"/>
  </r>
  <r>
    <n v="287"/>
    <n v="20.005880000000001"/>
    <n v="84.973089999999999"/>
    <x v="1"/>
    <s v="Mathakhajuria_Check_Dam-2"/>
    <n v="1"/>
    <n v="647.45860000000005"/>
    <x v="6"/>
    <n v="0.75"/>
    <n v="246.68172660000002"/>
    <n v="136.35478116000002"/>
    <n v="8.157978359999964"/>
    <n v="0"/>
    <n v="0"/>
    <n v="0"/>
    <n v="485.59395000000006"/>
    <n v="485.59395000000006"/>
    <n v="485.59395000000006"/>
    <n v="485.59395000000006"/>
    <n v="402.65450334000002"/>
    <n v="329.03846052"/>
  </r>
  <r>
    <n v="288"/>
    <n v="20.025569999999998"/>
    <n v="85.008189999999999"/>
    <x v="1"/>
    <s v="Rabra Check Dam_2"/>
    <n v="1"/>
    <n v="678.81650000000002"/>
    <x v="4"/>
    <n v="0.75"/>
    <n v="258.62908650000003"/>
    <n v="142.9587549"/>
    <n v="8.5530878999999622"/>
    <n v="0"/>
    <n v="0"/>
    <n v="0"/>
    <n v="509.11237500000004"/>
    <n v="509.11237500000004"/>
    <n v="509.11237500000004"/>
    <n v="509.11237500000004"/>
    <n v="422.15598134999999"/>
    <n v="344.97454529999999"/>
  </r>
  <r>
    <n v="289"/>
    <n v="20.011310000000002"/>
    <n v="84.975880000000004"/>
    <x v="1"/>
    <s v="Odogaon Check Dam -3"/>
    <n v="0.5"/>
    <n v="346.65390000000002"/>
    <x v="6"/>
    <n v="0.25"/>
    <n v="0"/>
    <n v="0"/>
    <n v="0"/>
    <n v="0"/>
    <n v="0"/>
    <n v="0"/>
    <n v="86.663475000000005"/>
    <n v="86.663475000000005"/>
    <n v="86.663475000000005"/>
    <n v="86.663475000000005"/>
    <n v="42.257110410000003"/>
    <n v="2.8425619799999948"/>
  </r>
  <r>
    <n v="290"/>
    <n v="20.029969999999999"/>
    <n v="84.980469999999997"/>
    <x v="1"/>
    <s v="Odogaon_Check_Dam"/>
    <n v="0.5"/>
    <n v="179.35079999999999"/>
    <x v="6"/>
    <n v="0.25"/>
    <n v="0"/>
    <n v="0"/>
    <n v="0"/>
    <n v="0"/>
    <n v="0"/>
    <n v="0"/>
    <n v="44.837699999999998"/>
    <n v="44.837699999999998"/>
    <n v="44.837699999999998"/>
    <n v="44.837699999999998"/>
    <n v="21.86286252"/>
    <n v="1.4706765599999974"/>
  </r>
  <r>
    <n v="291"/>
    <n v="20.022839999999999"/>
    <n v="85.049030000000002"/>
    <x v="1"/>
    <s v="Mahulia Check Dam"/>
    <n v="0.3"/>
    <n v="56.44811"/>
    <x v="8"/>
    <n v="4.9999999999999989E-2"/>
    <n v="0"/>
    <n v="0"/>
    <n v="0"/>
    <n v="0"/>
    <n v="0"/>
    <n v="0"/>
    <n v="2.8224054999999995"/>
    <n v="2.8224054999999995"/>
    <n v="2.8224054999999995"/>
    <n v="2.8224054999999995"/>
    <n v="0"/>
    <n v="0"/>
  </r>
  <r>
    <n v="292"/>
    <n v="20.05452"/>
    <n v="85.102549999999994"/>
    <x v="1"/>
    <s v="Kalyanpur Check Dam"/>
    <n v="0.5"/>
    <n v="1580.1210000000001"/>
    <x v="11"/>
    <n v="0.25"/>
    <n v="0"/>
    <n v="0"/>
    <n v="0"/>
    <n v="0"/>
    <n v="0"/>
    <n v="0"/>
    <n v="395.03025000000002"/>
    <n v="395.03025000000002"/>
    <n v="395.03025000000002"/>
    <n v="395.03025000000002"/>
    <n v="192.61674990000003"/>
    <n v="12.956992199999977"/>
  </r>
  <r>
    <n v="293"/>
    <n v="20.036449999999999"/>
    <n v="84.982380000000006"/>
    <x v="1"/>
    <s v="Odogaon_Check_Dam_4"/>
    <n v="1.5"/>
    <n v="504.90719999999999"/>
    <x v="6"/>
    <n v="1.25"/>
    <n v="444.82324319999998"/>
    <n v="358.78705631999998"/>
    <n v="258.81543071999994"/>
    <n v="155.35994543999999"/>
    <n v="34.485161760000011"/>
    <n v="34.485161760000011"/>
    <n v="631.13400000000001"/>
    <n v="631.13400000000001"/>
    <n v="631.13400000000001"/>
    <n v="631.13400000000001"/>
    <n v="566.45538768000006"/>
    <n v="509.04743903999997"/>
  </r>
  <r>
    <n v="294"/>
    <n v="20.030259999999998"/>
    <n v="84.992859999999993"/>
    <x v="1"/>
    <s v="Bilamanpur_Check_Dam"/>
    <n v="1"/>
    <n v="1435.2550000000001"/>
    <x v="5"/>
    <n v="0.75"/>
    <n v="546.83215500000006"/>
    <n v="302.26470300000005"/>
    <n v="18.08421299999992"/>
    <n v="0"/>
    <n v="0"/>
    <n v="0"/>
    <n v="1076.4412500000001"/>
    <n v="1076.4412500000001"/>
    <n v="1076.4412500000001"/>
    <n v="1076.4412500000001"/>
    <n v="892.58508450000011"/>
    <n v="729.39659100000006"/>
  </r>
  <r>
    <n v="295"/>
    <n v="20.04514"/>
    <n v="85.035550000000001"/>
    <x v="1"/>
    <s v="Saradhapur_MCD"/>
    <n v="1"/>
    <n v="316.96080000000001"/>
    <x v="3"/>
    <n v="0.75"/>
    <n v="120.7620648"/>
    <n v="66.751944480000006"/>
    <n v="3.9937060799999826"/>
    <n v="0"/>
    <n v="0"/>
    <n v="0"/>
    <n v="237.72059999999999"/>
    <n v="237.72059999999999"/>
    <n v="237.72059999999999"/>
    <n v="237.72059999999999"/>
    <n v="197.11792152000001"/>
    <n v="161.07947856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CA508-B037-4FBF-804B-0A29B524328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W19:BG34" firstHeaderRow="1" firstDataRow="3" firstDataCol="1"/>
  <pivotFields count="21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3">
        <item x="10"/>
        <item x="8"/>
        <item x="9"/>
        <item x="1"/>
        <item x="5"/>
        <item x="11"/>
        <item x="2"/>
        <item x="7"/>
        <item x="6"/>
        <item x="4"/>
        <item x="3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3"/>
    <field x="-2"/>
  </colFields>
  <colItems count="3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</colItems>
  <dataFields count="12">
    <dataField name="Sum of Jan" fld="9" baseField="0" baseItem="0"/>
    <dataField name="Sum of Feb" fld="10" baseField="0" baseItem="0"/>
    <dataField name="Sum of Mar" fld="11" baseField="0" baseItem="0"/>
    <dataField name="Sum of Apr" fld="12" baseField="0" baseItem="0"/>
    <dataField name="Sum of May" fld="13" baseField="0" baseItem="0"/>
    <dataField name="Sum of Jun" fld="14" baseField="0" baseItem="0"/>
    <dataField name="Sum of Jul" fld="15" baseField="0" baseItem="0"/>
    <dataField name="Sum of Aug" fld="16" baseField="0" baseItem="0"/>
    <dataField name="Sum of Sep" fld="17" baseField="0" baseItem="0"/>
    <dataField name="Sum of Oct" fld="18" baseField="0" baseItem="0"/>
    <dataField name="Sum of Nov" fld="19" baseField="0" baseItem="0"/>
    <dataField name="Sum of Dec" fld="2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F62D6-DD38-4E74-9441-2500A931FD9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W2:Z16" firstHeaderRow="1" firstDataRow="2" firstDataCol="1"/>
  <pivotFields count="21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axis="axisRow" showAll="0">
      <items count="13">
        <item x="10"/>
        <item x="8"/>
        <item x="9"/>
        <item x="1"/>
        <item x="5"/>
        <item x="11"/>
        <item x="2"/>
        <item x="7"/>
        <item x="6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Depth_m" fld="5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9863-5138-43F9-BBAE-7B83399DF2E8}">
  <dimension ref="A1:K286"/>
  <sheetViews>
    <sheetView workbookViewId="0">
      <selection activeCell="H30" sqref="H30"/>
    </sheetView>
  </sheetViews>
  <sheetFormatPr defaultRowHeight="15" x14ac:dyDescent="0.25"/>
  <cols>
    <col min="1" max="1" width="12.140625" style="2" bestFit="1" customWidth="1"/>
    <col min="5" max="5" width="12" style="2" bestFit="1" customWidth="1"/>
    <col min="6" max="6" width="9" style="2" bestFit="1" customWidth="1"/>
    <col min="7" max="8" width="10" style="2" bestFit="1" customWidth="1"/>
    <col min="9" max="9" width="11.7109375" style="2" bestFit="1" customWidth="1"/>
    <col min="10" max="10" width="10" style="2" bestFit="1" customWidth="1"/>
    <col min="11" max="11" width="9.140625" style="2"/>
  </cols>
  <sheetData>
    <row r="1" spans="1:11" x14ac:dyDescent="0.25">
      <c r="A1" s="3" t="s">
        <v>0</v>
      </c>
      <c r="B1" s="8" t="s">
        <v>49</v>
      </c>
      <c r="C1" s="8" t="s">
        <v>50</v>
      </c>
      <c r="D1" s="8" t="s">
        <v>51</v>
      </c>
      <c r="E1" s="3" t="s">
        <v>9</v>
      </c>
      <c r="F1" s="3" t="s">
        <v>4</v>
      </c>
      <c r="G1" s="3" t="s">
        <v>2</v>
      </c>
      <c r="H1" s="3" t="s">
        <v>3</v>
      </c>
      <c r="I1" s="3" t="s">
        <v>5</v>
      </c>
      <c r="J1" s="3" t="s">
        <v>6</v>
      </c>
    </row>
    <row r="2" spans="1:11" x14ac:dyDescent="0.25">
      <c r="A2" s="3" t="s">
        <v>7</v>
      </c>
      <c r="B2" s="8">
        <v>6</v>
      </c>
      <c r="C2" s="8">
        <v>20.031500000000001</v>
      </c>
      <c r="D2" s="8">
        <v>85.100999999999999</v>
      </c>
      <c r="E2" s="3">
        <v>2</v>
      </c>
      <c r="F2" s="3">
        <v>101.13</v>
      </c>
      <c r="G2" s="3">
        <v>202.26</v>
      </c>
      <c r="H2" s="3">
        <v>101.13</v>
      </c>
      <c r="I2" s="3">
        <v>50.57</v>
      </c>
      <c r="J2" s="3">
        <v>353.96</v>
      </c>
    </row>
    <row r="3" spans="1:11" x14ac:dyDescent="0.25">
      <c r="A3" s="3" t="s">
        <v>7</v>
      </c>
      <c r="B3" s="8">
        <v>275</v>
      </c>
      <c r="C3" s="8">
        <v>20.032900000000001</v>
      </c>
      <c r="D3" s="8">
        <v>84.977599999999995</v>
      </c>
      <c r="E3" s="3">
        <v>2</v>
      </c>
      <c r="F3" s="3">
        <v>140.15</v>
      </c>
      <c r="G3" s="3">
        <v>280.3</v>
      </c>
      <c r="H3" s="3">
        <v>140.15</v>
      </c>
      <c r="I3" s="3">
        <v>70.08</v>
      </c>
      <c r="J3" s="3">
        <v>490.53</v>
      </c>
    </row>
    <row r="4" spans="1:11" x14ac:dyDescent="0.25">
      <c r="A4" s="3" t="s">
        <v>7</v>
      </c>
      <c r="B4" s="8">
        <v>0</v>
      </c>
      <c r="C4" s="8">
        <v>20.037500000000001</v>
      </c>
      <c r="D4" s="8">
        <v>85.113699999999994</v>
      </c>
      <c r="E4" s="3">
        <v>2</v>
      </c>
      <c r="F4" s="3">
        <v>224.24</v>
      </c>
      <c r="G4" s="3">
        <v>448.48</v>
      </c>
      <c r="H4" s="3">
        <v>224.24</v>
      </c>
      <c r="I4" s="3">
        <v>112.12</v>
      </c>
      <c r="J4" s="3">
        <v>784.84</v>
      </c>
    </row>
    <row r="5" spans="1:11" x14ac:dyDescent="0.25">
      <c r="A5" s="3" t="s">
        <v>7</v>
      </c>
      <c r="B5" s="8">
        <v>120</v>
      </c>
      <c r="C5" s="8">
        <v>20.033200000000001</v>
      </c>
      <c r="D5" s="8">
        <v>85.026499999999999</v>
      </c>
      <c r="E5" s="3">
        <v>2</v>
      </c>
      <c r="F5" s="3">
        <v>233.98</v>
      </c>
      <c r="G5" s="3">
        <v>467.96</v>
      </c>
      <c r="H5" s="3">
        <v>233.98</v>
      </c>
      <c r="I5" s="3">
        <v>116.99</v>
      </c>
      <c r="J5" s="3">
        <v>818.93</v>
      </c>
    </row>
    <row r="6" spans="1:11" x14ac:dyDescent="0.25">
      <c r="A6" s="3" t="s">
        <v>7</v>
      </c>
      <c r="B6" s="8">
        <v>1</v>
      </c>
      <c r="C6" s="8">
        <v>20.0123</v>
      </c>
      <c r="D6" s="8">
        <v>85.082499999999996</v>
      </c>
      <c r="E6" s="3">
        <v>2</v>
      </c>
      <c r="F6" s="3">
        <v>240.41</v>
      </c>
      <c r="G6" s="3">
        <v>480.82</v>
      </c>
      <c r="H6" s="3">
        <v>240.41</v>
      </c>
      <c r="I6" s="3">
        <v>120.21</v>
      </c>
      <c r="J6" s="3">
        <v>841.44</v>
      </c>
    </row>
    <row r="7" spans="1:11" x14ac:dyDescent="0.25">
      <c r="A7" s="3" t="s">
        <v>7</v>
      </c>
      <c r="B7" s="8">
        <v>4</v>
      </c>
      <c r="C7" s="8">
        <v>20.038499999999999</v>
      </c>
      <c r="D7" s="8">
        <v>85.113500000000002</v>
      </c>
      <c r="E7" s="3">
        <v>2</v>
      </c>
      <c r="F7" s="3">
        <v>245.48</v>
      </c>
      <c r="G7" s="3">
        <v>490.96</v>
      </c>
      <c r="H7" s="3">
        <v>245.48</v>
      </c>
      <c r="I7" s="3">
        <v>122.74</v>
      </c>
      <c r="J7" s="3">
        <v>859.18</v>
      </c>
    </row>
    <row r="8" spans="1:11" x14ac:dyDescent="0.25">
      <c r="A8" s="3" t="s">
        <v>7</v>
      </c>
      <c r="B8" s="8">
        <v>242</v>
      </c>
      <c r="C8" s="8">
        <v>20.017800000000001</v>
      </c>
      <c r="D8" s="8">
        <v>85.085599999999999</v>
      </c>
      <c r="E8" s="3">
        <v>2</v>
      </c>
      <c r="F8" s="3">
        <v>263.54000000000002</v>
      </c>
      <c r="G8" s="3">
        <v>527.08000000000004</v>
      </c>
      <c r="H8" s="3">
        <v>263.54000000000002</v>
      </c>
      <c r="I8" s="3">
        <v>131.77000000000001</v>
      </c>
      <c r="J8" s="3">
        <v>922.39</v>
      </c>
    </row>
    <row r="9" spans="1:11" x14ac:dyDescent="0.25">
      <c r="A9" s="3" t="s">
        <v>7</v>
      </c>
      <c r="B9" s="8">
        <v>279</v>
      </c>
      <c r="C9" s="8">
        <v>20.051100000000002</v>
      </c>
      <c r="D9" s="8">
        <v>85.146000000000001</v>
      </c>
      <c r="E9" s="3">
        <v>2</v>
      </c>
      <c r="F9" s="3">
        <v>263.58</v>
      </c>
      <c r="G9" s="3">
        <v>527.16</v>
      </c>
      <c r="H9" s="3">
        <v>263.58</v>
      </c>
      <c r="I9" s="3">
        <v>131.79</v>
      </c>
      <c r="J9" s="3">
        <v>922.53</v>
      </c>
    </row>
    <row r="10" spans="1:11" x14ac:dyDescent="0.25">
      <c r="A10" s="3" t="s">
        <v>7</v>
      </c>
      <c r="B10" s="8">
        <v>240</v>
      </c>
      <c r="C10" s="8">
        <v>20.039000000000001</v>
      </c>
      <c r="D10" s="8">
        <v>85.112799999999993</v>
      </c>
      <c r="E10" s="3">
        <v>2</v>
      </c>
      <c r="F10" s="3">
        <v>283.06</v>
      </c>
      <c r="G10" s="3">
        <v>566.12</v>
      </c>
      <c r="H10" s="3">
        <v>283.06</v>
      </c>
      <c r="I10" s="3">
        <v>141.53</v>
      </c>
      <c r="J10" s="3">
        <v>990.71</v>
      </c>
    </row>
    <row r="11" spans="1:11" x14ac:dyDescent="0.25">
      <c r="A11" s="3" t="s">
        <v>7</v>
      </c>
      <c r="B11" s="8">
        <v>5</v>
      </c>
      <c r="C11" s="8">
        <v>20.039100000000001</v>
      </c>
      <c r="D11" s="8">
        <v>85.113500000000002</v>
      </c>
      <c r="E11" s="3">
        <v>2</v>
      </c>
      <c r="F11" s="3">
        <v>295.2</v>
      </c>
      <c r="G11" s="3">
        <v>590.4</v>
      </c>
      <c r="H11" s="3">
        <v>295.2</v>
      </c>
      <c r="I11" s="3">
        <v>147.6</v>
      </c>
      <c r="J11" s="3">
        <v>1033.2</v>
      </c>
    </row>
    <row r="12" spans="1:11" x14ac:dyDescent="0.25">
      <c r="A12" s="3" t="s">
        <v>7</v>
      </c>
      <c r="B12" s="8">
        <v>198</v>
      </c>
      <c r="C12" s="8">
        <v>20.040700000000001</v>
      </c>
      <c r="D12" s="8">
        <v>85.118499999999997</v>
      </c>
      <c r="E12" s="3">
        <v>2</v>
      </c>
      <c r="F12" s="3">
        <v>305.23</v>
      </c>
      <c r="G12" s="3">
        <v>610.46</v>
      </c>
      <c r="H12" s="3">
        <v>305.23</v>
      </c>
      <c r="I12" s="3">
        <v>152.62</v>
      </c>
      <c r="J12" s="3">
        <v>1068.31</v>
      </c>
    </row>
    <row r="13" spans="1:11" x14ac:dyDescent="0.25">
      <c r="A13" s="3" t="s">
        <v>7</v>
      </c>
      <c r="B13" s="8">
        <v>7</v>
      </c>
      <c r="C13" s="8">
        <v>20.0379</v>
      </c>
      <c r="D13" s="8">
        <v>84.966999999999999</v>
      </c>
      <c r="E13" s="3">
        <v>2</v>
      </c>
      <c r="F13" s="3">
        <v>325.86</v>
      </c>
      <c r="G13" s="3">
        <v>651.72</v>
      </c>
      <c r="H13" s="3">
        <v>325.86</v>
      </c>
      <c r="I13" s="3">
        <v>162.93</v>
      </c>
      <c r="J13" s="3">
        <v>1140.51</v>
      </c>
    </row>
    <row r="14" spans="1:11" x14ac:dyDescent="0.25">
      <c r="A14" s="3" t="s">
        <v>7</v>
      </c>
      <c r="B14" s="8">
        <v>195</v>
      </c>
      <c r="C14" s="8">
        <v>20.041</v>
      </c>
      <c r="D14" s="8">
        <v>85.113500000000002</v>
      </c>
      <c r="E14" s="3">
        <v>2</v>
      </c>
      <c r="F14" s="3">
        <v>333.29</v>
      </c>
      <c r="G14" s="3">
        <v>666.58</v>
      </c>
      <c r="H14" s="3">
        <v>333.29</v>
      </c>
      <c r="I14" s="3">
        <v>166.65</v>
      </c>
      <c r="J14" s="3">
        <v>1166.52</v>
      </c>
      <c r="K14" s="2" t="s">
        <v>52</v>
      </c>
    </row>
    <row r="15" spans="1:11" x14ac:dyDescent="0.25">
      <c r="A15" s="3" t="s">
        <v>7</v>
      </c>
      <c r="B15" s="8">
        <v>40</v>
      </c>
      <c r="C15" s="8">
        <v>20.0318</v>
      </c>
      <c r="D15" s="8">
        <v>84.976699999999994</v>
      </c>
      <c r="E15" s="3">
        <v>2</v>
      </c>
      <c r="F15" s="3">
        <v>343.77</v>
      </c>
      <c r="G15" s="3">
        <v>687.54</v>
      </c>
      <c r="H15" s="3">
        <v>343.77</v>
      </c>
      <c r="I15" s="3">
        <v>171.89</v>
      </c>
      <c r="J15" s="3">
        <v>1203.2</v>
      </c>
    </row>
    <row r="16" spans="1:11" x14ac:dyDescent="0.25">
      <c r="A16" s="3" t="s">
        <v>7</v>
      </c>
      <c r="B16" s="8">
        <v>196</v>
      </c>
      <c r="C16" s="8">
        <v>20.040900000000001</v>
      </c>
      <c r="D16" s="8">
        <v>85.115399999999994</v>
      </c>
      <c r="E16" s="3">
        <v>2</v>
      </c>
      <c r="F16" s="3">
        <v>372.39</v>
      </c>
      <c r="G16" s="3">
        <v>744.78</v>
      </c>
      <c r="H16" s="3">
        <v>372.39</v>
      </c>
      <c r="I16" s="3">
        <v>186.2</v>
      </c>
      <c r="J16" s="3">
        <v>1303.3699999999999</v>
      </c>
    </row>
    <row r="17" spans="1:10" x14ac:dyDescent="0.25">
      <c r="A17" s="3" t="s">
        <v>7</v>
      </c>
      <c r="B17" s="8">
        <v>79</v>
      </c>
      <c r="C17" s="8">
        <v>20.0214</v>
      </c>
      <c r="D17" s="8">
        <v>85.009699999999995</v>
      </c>
      <c r="E17" s="3">
        <v>2.5</v>
      </c>
      <c r="F17" s="3">
        <v>306.52999999999997</v>
      </c>
      <c r="G17" s="3">
        <v>766.33</v>
      </c>
      <c r="H17" s="3">
        <v>383.16</v>
      </c>
      <c r="I17" s="3">
        <v>191.58</v>
      </c>
      <c r="J17" s="3">
        <v>1341.07</v>
      </c>
    </row>
    <row r="18" spans="1:10" x14ac:dyDescent="0.25">
      <c r="A18" s="3" t="s">
        <v>7</v>
      </c>
      <c r="B18" s="8">
        <v>145</v>
      </c>
      <c r="C18" s="8">
        <v>20.045000000000002</v>
      </c>
      <c r="D18" s="8">
        <v>85.0351</v>
      </c>
      <c r="E18" s="3">
        <v>2</v>
      </c>
      <c r="F18" s="3">
        <v>384.65</v>
      </c>
      <c r="G18" s="3">
        <v>769.3</v>
      </c>
      <c r="H18" s="3">
        <v>384.65</v>
      </c>
      <c r="I18" s="3">
        <v>192.33</v>
      </c>
      <c r="J18" s="3">
        <v>1346.28</v>
      </c>
    </row>
    <row r="19" spans="1:10" x14ac:dyDescent="0.25">
      <c r="A19" s="3" t="s">
        <v>7</v>
      </c>
      <c r="B19" s="8">
        <v>39</v>
      </c>
      <c r="C19" s="8">
        <v>20.0396</v>
      </c>
      <c r="D19" s="8">
        <v>84.975200000000001</v>
      </c>
      <c r="E19" s="3">
        <v>2</v>
      </c>
      <c r="F19" s="3">
        <v>385.63</v>
      </c>
      <c r="G19" s="3">
        <v>771.26</v>
      </c>
      <c r="H19" s="3">
        <v>385.63</v>
      </c>
      <c r="I19" s="3">
        <v>192.82</v>
      </c>
      <c r="J19" s="3">
        <v>1349.71</v>
      </c>
    </row>
    <row r="20" spans="1:10" x14ac:dyDescent="0.25">
      <c r="A20" s="3" t="s">
        <v>7</v>
      </c>
      <c r="B20" s="8">
        <v>2</v>
      </c>
      <c r="C20" s="8">
        <v>20.0379</v>
      </c>
      <c r="D20" s="8">
        <v>85.113399999999999</v>
      </c>
      <c r="E20" s="3">
        <v>2</v>
      </c>
      <c r="F20" s="3">
        <v>402.31</v>
      </c>
      <c r="G20" s="3">
        <v>804.62</v>
      </c>
      <c r="H20" s="3">
        <v>402.31</v>
      </c>
      <c r="I20" s="3">
        <v>201.16</v>
      </c>
      <c r="J20" s="3">
        <v>1408.09</v>
      </c>
    </row>
    <row r="21" spans="1:10" x14ac:dyDescent="0.25">
      <c r="A21" s="3" t="s">
        <v>7</v>
      </c>
      <c r="B21" s="8">
        <v>280</v>
      </c>
      <c r="C21" s="8">
        <v>20.051300000000001</v>
      </c>
      <c r="D21" s="8">
        <v>85.146299999999997</v>
      </c>
      <c r="E21" s="3">
        <v>2</v>
      </c>
      <c r="F21" s="3">
        <v>407.06</v>
      </c>
      <c r="G21" s="3">
        <v>814.12</v>
      </c>
      <c r="H21" s="3">
        <v>407.06</v>
      </c>
      <c r="I21" s="3">
        <v>203.53</v>
      </c>
      <c r="J21" s="3">
        <v>1424.71</v>
      </c>
    </row>
    <row r="22" spans="1:10" x14ac:dyDescent="0.25">
      <c r="A22" s="3" t="s">
        <v>7</v>
      </c>
      <c r="B22" s="8">
        <v>172</v>
      </c>
      <c r="C22" s="8">
        <v>20.029699999999998</v>
      </c>
      <c r="D22" s="8">
        <v>85.049000000000007</v>
      </c>
      <c r="E22" s="3">
        <v>2</v>
      </c>
      <c r="F22" s="3">
        <v>412.47</v>
      </c>
      <c r="G22" s="3">
        <v>824.94</v>
      </c>
      <c r="H22" s="3">
        <v>412.47</v>
      </c>
      <c r="I22" s="3">
        <v>206.24</v>
      </c>
      <c r="J22" s="3">
        <v>1443.65</v>
      </c>
    </row>
    <row r="23" spans="1:10" x14ac:dyDescent="0.25">
      <c r="A23" s="3" t="s">
        <v>7</v>
      </c>
      <c r="B23" s="8">
        <v>15</v>
      </c>
      <c r="C23" s="8">
        <v>20.023700000000002</v>
      </c>
      <c r="D23" s="8">
        <v>84.986900000000006</v>
      </c>
      <c r="E23" s="3">
        <v>2</v>
      </c>
      <c r="F23" s="3">
        <v>425.84</v>
      </c>
      <c r="G23" s="3">
        <v>851.68</v>
      </c>
      <c r="H23" s="3">
        <v>425.84</v>
      </c>
      <c r="I23" s="3">
        <v>212.92</v>
      </c>
      <c r="J23" s="3">
        <v>1490.44</v>
      </c>
    </row>
    <row r="24" spans="1:10" x14ac:dyDescent="0.25">
      <c r="A24" s="3" t="s">
        <v>7</v>
      </c>
      <c r="B24" s="8">
        <v>44</v>
      </c>
      <c r="C24" s="8">
        <v>20.017099999999999</v>
      </c>
      <c r="D24" s="8">
        <v>84.983500000000006</v>
      </c>
      <c r="E24" s="3">
        <v>2</v>
      </c>
      <c r="F24" s="3">
        <v>426.4</v>
      </c>
      <c r="G24" s="3">
        <v>852.8</v>
      </c>
      <c r="H24" s="3">
        <v>426.4</v>
      </c>
      <c r="I24" s="3">
        <v>213.2</v>
      </c>
      <c r="J24" s="3">
        <v>1492.4</v>
      </c>
    </row>
    <row r="25" spans="1:10" x14ac:dyDescent="0.25">
      <c r="A25" s="3" t="s">
        <v>7</v>
      </c>
      <c r="B25" s="8">
        <v>197</v>
      </c>
      <c r="C25" s="8">
        <v>20.0396</v>
      </c>
      <c r="D25" s="8">
        <v>85.115600000000001</v>
      </c>
      <c r="E25" s="3">
        <v>2</v>
      </c>
      <c r="F25" s="3">
        <v>426.42</v>
      </c>
      <c r="G25" s="3">
        <v>852.84</v>
      </c>
      <c r="H25" s="3">
        <v>426.42</v>
      </c>
      <c r="I25" s="3">
        <v>213.21</v>
      </c>
      <c r="J25" s="3">
        <v>1492.47</v>
      </c>
    </row>
    <row r="26" spans="1:10" x14ac:dyDescent="0.25">
      <c r="A26" s="3" t="s">
        <v>7</v>
      </c>
      <c r="B26" s="8">
        <v>232</v>
      </c>
      <c r="C26" s="8">
        <v>20.032499999999999</v>
      </c>
      <c r="D26" s="8">
        <v>85.102199999999996</v>
      </c>
      <c r="E26" s="3">
        <v>2</v>
      </c>
      <c r="F26" s="3">
        <v>427.99</v>
      </c>
      <c r="G26" s="3">
        <v>855.98</v>
      </c>
      <c r="H26" s="3">
        <v>427.99</v>
      </c>
      <c r="I26" s="3">
        <v>214</v>
      </c>
      <c r="J26" s="3">
        <v>1497.97</v>
      </c>
    </row>
    <row r="27" spans="1:10" x14ac:dyDescent="0.25">
      <c r="A27" s="3" t="s">
        <v>7</v>
      </c>
      <c r="B27" s="8">
        <v>81</v>
      </c>
      <c r="C27" s="8">
        <v>20.013400000000001</v>
      </c>
      <c r="D27" s="8">
        <v>85.0124</v>
      </c>
      <c r="E27" s="3">
        <v>2</v>
      </c>
      <c r="F27" s="3">
        <v>449.92</v>
      </c>
      <c r="G27" s="3">
        <v>899.84</v>
      </c>
      <c r="H27" s="3">
        <v>449.92</v>
      </c>
      <c r="I27" s="3">
        <v>224.96</v>
      </c>
      <c r="J27" s="3">
        <v>1574.72</v>
      </c>
    </row>
    <row r="28" spans="1:10" x14ac:dyDescent="0.25">
      <c r="A28" s="3" t="s">
        <v>7</v>
      </c>
      <c r="B28" s="8">
        <v>61</v>
      </c>
      <c r="C28" s="8">
        <v>20.006399999999999</v>
      </c>
      <c r="D28" s="8">
        <v>85.007800000000003</v>
      </c>
      <c r="E28" s="3">
        <v>2</v>
      </c>
      <c r="F28" s="3">
        <v>461.57</v>
      </c>
      <c r="G28" s="3">
        <v>923.14</v>
      </c>
      <c r="H28" s="3">
        <v>461.57</v>
      </c>
      <c r="I28" s="3">
        <v>230.79</v>
      </c>
      <c r="J28" s="3">
        <v>1615.5</v>
      </c>
    </row>
    <row r="29" spans="1:10" x14ac:dyDescent="0.25">
      <c r="A29" s="3" t="s">
        <v>7</v>
      </c>
      <c r="B29" s="8">
        <v>12</v>
      </c>
      <c r="C29" s="8">
        <v>20.018899999999999</v>
      </c>
      <c r="D29" s="8">
        <v>84.9893</v>
      </c>
      <c r="E29" s="3">
        <v>2</v>
      </c>
      <c r="F29" s="3">
        <v>465.72</v>
      </c>
      <c r="G29" s="3">
        <v>931.44</v>
      </c>
      <c r="H29" s="3">
        <v>465.72</v>
      </c>
      <c r="I29" s="3">
        <v>232.86</v>
      </c>
      <c r="J29" s="3">
        <v>1630.02</v>
      </c>
    </row>
    <row r="30" spans="1:10" x14ac:dyDescent="0.25">
      <c r="A30" s="3" t="s">
        <v>7</v>
      </c>
      <c r="B30" s="8">
        <v>159</v>
      </c>
      <c r="C30" s="8">
        <v>20.012799999999999</v>
      </c>
      <c r="D30" s="8">
        <v>85.051699999999997</v>
      </c>
      <c r="E30" s="3">
        <v>2</v>
      </c>
      <c r="F30" s="3">
        <v>499.14</v>
      </c>
      <c r="G30" s="3">
        <v>998.28</v>
      </c>
      <c r="H30" s="3">
        <v>499.14</v>
      </c>
      <c r="I30" s="3">
        <v>249.57</v>
      </c>
      <c r="J30" s="3">
        <v>1746.99</v>
      </c>
    </row>
    <row r="31" spans="1:10" x14ac:dyDescent="0.25">
      <c r="A31" s="3" t="s">
        <v>7</v>
      </c>
      <c r="B31" s="8">
        <v>17</v>
      </c>
      <c r="C31" s="8">
        <v>20.0337</v>
      </c>
      <c r="D31" s="8">
        <v>84.967600000000004</v>
      </c>
      <c r="E31" s="3">
        <v>3</v>
      </c>
      <c r="F31" s="3">
        <v>342.3</v>
      </c>
      <c r="G31" s="3">
        <v>1026.9000000000001</v>
      </c>
      <c r="H31" s="3">
        <v>513.45000000000005</v>
      </c>
      <c r="I31" s="3">
        <v>256.73</v>
      </c>
      <c r="J31" s="3">
        <v>1797.08</v>
      </c>
    </row>
    <row r="32" spans="1:10" x14ac:dyDescent="0.25">
      <c r="A32" s="3" t="s">
        <v>7</v>
      </c>
      <c r="B32" s="8">
        <v>53</v>
      </c>
      <c r="C32" s="8">
        <v>20.030899999999999</v>
      </c>
      <c r="D32" s="8">
        <v>85.012100000000004</v>
      </c>
      <c r="E32" s="3">
        <v>2.5</v>
      </c>
      <c r="F32" s="3">
        <v>411.49</v>
      </c>
      <c r="G32" s="3">
        <v>1028.72</v>
      </c>
      <c r="H32" s="3">
        <v>514.36</v>
      </c>
      <c r="I32" s="3">
        <v>257.18</v>
      </c>
      <c r="J32" s="3">
        <v>1800.26</v>
      </c>
    </row>
    <row r="33" spans="1:10" x14ac:dyDescent="0.25">
      <c r="A33" s="3" t="s">
        <v>7</v>
      </c>
      <c r="B33" s="8">
        <v>175</v>
      </c>
      <c r="C33" s="8">
        <v>20.0304</v>
      </c>
      <c r="D33" s="8">
        <v>85.055599999999998</v>
      </c>
      <c r="E33" s="3">
        <v>2</v>
      </c>
      <c r="F33" s="3">
        <v>532.88</v>
      </c>
      <c r="G33" s="3">
        <v>1065.76</v>
      </c>
      <c r="H33" s="3">
        <v>532.88</v>
      </c>
      <c r="I33" s="3">
        <v>266.44</v>
      </c>
      <c r="J33" s="3">
        <v>1865.08</v>
      </c>
    </row>
    <row r="34" spans="1:10" x14ac:dyDescent="0.25">
      <c r="A34" s="3" t="s">
        <v>7</v>
      </c>
      <c r="B34" s="8">
        <v>135</v>
      </c>
      <c r="C34" s="8">
        <v>20.0487</v>
      </c>
      <c r="D34" s="8">
        <v>85.022599999999997</v>
      </c>
      <c r="E34" s="3">
        <v>2</v>
      </c>
      <c r="F34" s="3">
        <v>539.77</v>
      </c>
      <c r="G34" s="3">
        <v>1079.54</v>
      </c>
      <c r="H34" s="3">
        <v>539.77</v>
      </c>
      <c r="I34" s="3">
        <v>269.89</v>
      </c>
      <c r="J34" s="3">
        <v>1889.2</v>
      </c>
    </row>
    <row r="35" spans="1:10" x14ac:dyDescent="0.25">
      <c r="A35" s="3" t="s">
        <v>7</v>
      </c>
      <c r="B35" s="8">
        <v>76</v>
      </c>
      <c r="C35" s="8">
        <v>20.023599999999998</v>
      </c>
      <c r="D35" s="8">
        <v>85.013900000000007</v>
      </c>
      <c r="E35" s="3">
        <v>2</v>
      </c>
      <c r="F35" s="3">
        <v>540.79999999999995</v>
      </c>
      <c r="G35" s="3">
        <v>1081.5999999999999</v>
      </c>
      <c r="H35" s="3">
        <v>540.79999999999995</v>
      </c>
      <c r="I35" s="3">
        <v>270.39999999999998</v>
      </c>
      <c r="J35" s="3">
        <v>1892.8</v>
      </c>
    </row>
    <row r="36" spans="1:10" x14ac:dyDescent="0.25">
      <c r="A36" s="3" t="s">
        <v>7</v>
      </c>
      <c r="B36" s="8">
        <v>29</v>
      </c>
      <c r="C36" s="8">
        <v>20.004899999999999</v>
      </c>
      <c r="D36" s="8">
        <v>84.971000000000004</v>
      </c>
      <c r="E36" s="3">
        <v>2</v>
      </c>
      <c r="F36" s="3">
        <v>549.59</v>
      </c>
      <c r="G36" s="3">
        <v>1099.18</v>
      </c>
      <c r="H36" s="3">
        <v>549.59</v>
      </c>
      <c r="I36" s="3">
        <v>274.8</v>
      </c>
      <c r="J36" s="3">
        <v>1923.57</v>
      </c>
    </row>
    <row r="37" spans="1:10" x14ac:dyDescent="0.25">
      <c r="A37" s="3" t="s">
        <v>7</v>
      </c>
      <c r="B37" s="8">
        <v>272</v>
      </c>
      <c r="C37" s="8">
        <v>20.007899999999999</v>
      </c>
      <c r="D37" s="8">
        <v>84.971299999999999</v>
      </c>
      <c r="E37" s="3">
        <v>2</v>
      </c>
      <c r="F37" s="3">
        <v>554.70000000000005</v>
      </c>
      <c r="G37" s="3">
        <v>1109.4000000000001</v>
      </c>
      <c r="H37" s="3">
        <v>554.70000000000005</v>
      </c>
      <c r="I37" s="3">
        <v>277.35000000000002</v>
      </c>
      <c r="J37" s="3">
        <v>1941.45</v>
      </c>
    </row>
    <row r="38" spans="1:10" x14ac:dyDescent="0.25">
      <c r="A38" s="3" t="s">
        <v>7</v>
      </c>
      <c r="B38" s="8">
        <v>111</v>
      </c>
      <c r="C38" s="8">
        <v>20.0307</v>
      </c>
      <c r="D38" s="8">
        <v>85.044899999999998</v>
      </c>
      <c r="E38" s="3">
        <v>2</v>
      </c>
      <c r="F38" s="3">
        <v>564.21</v>
      </c>
      <c r="G38" s="3">
        <v>1128.42</v>
      </c>
      <c r="H38" s="3">
        <v>564.21</v>
      </c>
      <c r="I38" s="3">
        <v>282.11</v>
      </c>
      <c r="J38" s="3">
        <v>1974.74</v>
      </c>
    </row>
    <row r="39" spans="1:10" x14ac:dyDescent="0.25">
      <c r="A39" s="3" t="s">
        <v>7</v>
      </c>
      <c r="B39" s="8">
        <v>270</v>
      </c>
      <c r="C39" s="8">
        <v>20.064699999999998</v>
      </c>
      <c r="D39" s="8">
        <v>85.162199999999999</v>
      </c>
      <c r="E39" s="3">
        <v>2</v>
      </c>
      <c r="F39" s="3">
        <v>574.84</v>
      </c>
      <c r="G39" s="3">
        <v>1149.68</v>
      </c>
      <c r="H39" s="3">
        <v>574.84</v>
      </c>
      <c r="I39" s="3">
        <v>287.42</v>
      </c>
      <c r="J39" s="3">
        <v>2011.94</v>
      </c>
    </row>
    <row r="40" spans="1:10" x14ac:dyDescent="0.25">
      <c r="A40" s="3" t="s">
        <v>7</v>
      </c>
      <c r="B40" s="8">
        <v>277</v>
      </c>
      <c r="C40" s="8">
        <v>20.053799999999999</v>
      </c>
      <c r="D40" s="8">
        <v>85.031700000000001</v>
      </c>
      <c r="E40" s="3">
        <v>2</v>
      </c>
      <c r="F40" s="3">
        <v>612.29</v>
      </c>
      <c r="G40" s="3">
        <v>1224.58</v>
      </c>
      <c r="H40" s="3">
        <v>612.29</v>
      </c>
      <c r="I40" s="3">
        <v>306.14999999999998</v>
      </c>
      <c r="J40" s="3">
        <v>2143.02</v>
      </c>
    </row>
    <row r="41" spans="1:10" x14ac:dyDescent="0.25">
      <c r="A41" s="3" t="s">
        <v>7</v>
      </c>
      <c r="B41" s="8">
        <v>91</v>
      </c>
      <c r="C41" s="8">
        <v>20.011700000000001</v>
      </c>
      <c r="D41" s="8">
        <v>85.028999999999996</v>
      </c>
      <c r="E41" s="3">
        <v>2</v>
      </c>
      <c r="F41" s="3">
        <v>614.14</v>
      </c>
      <c r="G41" s="3">
        <v>1228.28</v>
      </c>
      <c r="H41" s="3">
        <v>614.14</v>
      </c>
      <c r="I41" s="3">
        <v>307.07</v>
      </c>
      <c r="J41" s="3">
        <v>2149.4899999999998</v>
      </c>
    </row>
    <row r="42" spans="1:10" x14ac:dyDescent="0.25">
      <c r="A42" s="3" t="s">
        <v>7</v>
      </c>
      <c r="B42" s="8">
        <v>97</v>
      </c>
      <c r="C42" s="8">
        <v>20.0151</v>
      </c>
      <c r="D42" s="8">
        <v>85.025300000000001</v>
      </c>
      <c r="E42" s="3">
        <v>3</v>
      </c>
      <c r="F42" s="3">
        <v>431.47</v>
      </c>
      <c r="G42" s="3">
        <v>1294.4100000000001</v>
      </c>
      <c r="H42" s="3">
        <v>647.21</v>
      </c>
      <c r="I42" s="3">
        <v>323.60000000000002</v>
      </c>
      <c r="J42" s="3">
        <v>2265.2199999999998</v>
      </c>
    </row>
    <row r="43" spans="1:10" x14ac:dyDescent="0.25">
      <c r="A43" s="3" t="s">
        <v>7</v>
      </c>
      <c r="B43" s="8">
        <v>206</v>
      </c>
      <c r="C43" s="8">
        <v>20.0534</v>
      </c>
      <c r="D43" s="8">
        <v>85.076400000000007</v>
      </c>
      <c r="E43" s="3">
        <v>2</v>
      </c>
      <c r="F43" s="3">
        <v>647.61</v>
      </c>
      <c r="G43" s="3">
        <v>1295.22</v>
      </c>
      <c r="H43" s="3">
        <v>647.61</v>
      </c>
      <c r="I43" s="3">
        <v>323.81</v>
      </c>
      <c r="J43" s="3">
        <v>2266.64</v>
      </c>
    </row>
    <row r="44" spans="1:10" x14ac:dyDescent="0.25">
      <c r="A44" s="3" t="s">
        <v>7</v>
      </c>
      <c r="B44" s="8">
        <v>148</v>
      </c>
      <c r="C44" s="8">
        <v>20.0337</v>
      </c>
      <c r="D44" s="8">
        <v>85.035200000000003</v>
      </c>
      <c r="E44" s="3">
        <v>2</v>
      </c>
      <c r="F44" s="3">
        <v>649.66</v>
      </c>
      <c r="G44" s="3">
        <v>1299.32</v>
      </c>
      <c r="H44" s="3">
        <v>649.66</v>
      </c>
      <c r="I44" s="3">
        <v>324.83</v>
      </c>
      <c r="J44" s="3">
        <v>2273.81</v>
      </c>
    </row>
    <row r="45" spans="1:10" x14ac:dyDescent="0.25">
      <c r="A45" s="3" t="s">
        <v>7</v>
      </c>
      <c r="B45" s="8">
        <v>117</v>
      </c>
      <c r="C45" s="8">
        <v>20.034400000000002</v>
      </c>
      <c r="D45" s="8">
        <v>85.027100000000004</v>
      </c>
      <c r="E45" s="3">
        <v>2</v>
      </c>
      <c r="F45" s="3">
        <v>672.04</v>
      </c>
      <c r="G45" s="3">
        <v>1344.08</v>
      </c>
      <c r="H45" s="3">
        <v>672.04</v>
      </c>
      <c r="I45" s="3">
        <v>336.02</v>
      </c>
      <c r="J45" s="3">
        <v>2352.14</v>
      </c>
    </row>
    <row r="46" spans="1:10" x14ac:dyDescent="0.25">
      <c r="A46" s="3" t="s">
        <v>7</v>
      </c>
      <c r="B46" s="8">
        <v>214</v>
      </c>
      <c r="C46" s="8">
        <v>20.055399999999999</v>
      </c>
      <c r="D46" s="8">
        <v>85.101100000000002</v>
      </c>
      <c r="E46" s="3">
        <v>2</v>
      </c>
      <c r="F46" s="3">
        <v>676.09</v>
      </c>
      <c r="G46" s="3">
        <v>1352.18</v>
      </c>
      <c r="H46" s="3">
        <v>676.09</v>
      </c>
      <c r="I46" s="3">
        <v>338.05</v>
      </c>
      <c r="J46" s="3">
        <v>2366.3200000000002</v>
      </c>
    </row>
    <row r="47" spans="1:10" x14ac:dyDescent="0.25">
      <c r="A47" s="3" t="s">
        <v>7</v>
      </c>
      <c r="B47" s="8">
        <v>192</v>
      </c>
      <c r="C47" s="8">
        <v>20.043099999999999</v>
      </c>
      <c r="D47" s="8">
        <v>85.113100000000003</v>
      </c>
      <c r="E47" s="3">
        <v>3</v>
      </c>
      <c r="F47" s="3">
        <v>452.36</v>
      </c>
      <c r="G47" s="3">
        <v>1357.08</v>
      </c>
      <c r="H47" s="3">
        <v>678.54</v>
      </c>
      <c r="I47" s="3">
        <v>339.27</v>
      </c>
      <c r="J47" s="3">
        <v>2374.89</v>
      </c>
    </row>
    <row r="48" spans="1:10" x14ac:dyDescent="0.25">
      <c r="A48" s="3" t="s">
        <v>7</v>
      </c>
      <c r="B48" s="8">
        <v>124</v>
      </c>
      <c r="C48" s="8">
        <v>20.039400000000001</v>
      </c>
      <c r="D48" s="8">
        <v>85.033100000000005</v>
      </c>
      <c r="E48" s="3">
        <v>2</v>
      </c>
      <c r="F48" s="3">
        <v>687.95</v>
      </c>
      <c r="G48" s="3">
        <v>1375.9</v>
      </c>
      <c r="H48" s="3">
        <v>687.95</v>
      </c>
      <c r="I48" s="3">
        <v>343.98</v>
      </c>
      <c r="J48" s="3">
        <v>2407.83</v>
      </c>
    </row>
    <row r="49" spans="1:10" x14ac:dyDescent="0.25">
      <c r="A49" s="3" t="s">
        <v>7</v>
      </c>
      <c r="B49" s="8">
        <v>28</v>
      </c>
      <c r="C49" s="8">
        <v>20.0063</v>
      </c>
      <c r="D49" s="8">
        <v>84.969300000000004</v>
      </c>
      <c r="E49" s="3">
        <v>2</v>
      </c>
      <c r="F49" s="3">
        <v>721.48</v>
      </c>
      <c r="G49" s="3">
        <v>1442.96</v>
      </c>
      <c r="H49" s="3">
        <v>721.48</v>
      </c>
      <c r="I49" s="3">
        <v>360.74</v>
      </c>
      <c r="J49" s="3">
        <v>2525.1799999999998</v>
      </c>
    </row>
    <row r="50" spans="1:10" x14ac:dyDescent="0.25">
      <c r="A50" s="3" t="s">
        <v>7</v>
      </c>
      <c r="B50" s="8">
        <v>118</v>
      </c>
      <c r="C50" s="8">
        <v>20.034099999999999</v>
      </c>
      <c r="D50" s="8">
        <v>85.027100000000004</v>
      </c>
      <c r="E50" s="3">
        <v>2</v>
      </c>
      <c r="F50" s="3">
        <v>723.42</v>
      </c>
      <c r="G50" s="3">
        <v>1446.84</v>
      </c>
      <c r="H50" s="3">
        <v>723.42</v>
      </c>
      <c r="I50" s="3">
        <v>361.71</v>
      </c>
      <c r="J50" s="3">
        <v>2531.9699999999998</v>
      </c>
    </row>
    <row r="51" spans="1:10" x14ac:dyDescent="0.25">
      <c r="A51" s="3" t="s">
        <v>7</v>
      </c>
      <c r="B51" s="8">
        <v>134</v>
      </c>
      <c r="C51" s="8">
        <v>20.0487</v>
      </c>
      <c r="D51" s="8">
        <v>85.0214</v>
      </c>
      <c r="E51" s="3">
        <v>2</v>
      </c>
      <c r="F51" s="3">
        <v>743.13</v>
      </c>
      <c r="G51" s="3">
        <v>1486.26</v>
      </c>
      <c r="H51" s="3">
        <v>743.13</v>
      </c>
      <c r="I51" s="3">
        <v>371.57</v>
      </c>
      <c r="J51" s="3">
        <v>2600.96</v>
      </c>
    </row>
    <row r="52" spans="1:10" x14ac:dyDescent="0.25">
      <c r="A52" s="3" t="s">
        <v>7</v>
      </c>
      <c r="B52" s="8">
        <v>199</v>
      </c>
      <c r="C52" s="8">
        <v>20.042999999999999</v>
      </c>
      <c r="D52" s="8">
        <v>85.121399999999994</v>
      </c>
      <c r="E52" s="3">
        <v>2</v>
      </c>
      <c r="F52" s="3">
        <v>748.34</v>
      </c>
      <c r="G52" s="3">
        <v>1496.68</v>
      </c>
      <c r="H52" s="3">
        <v>748.34</v>
      </c>
      <c r="I52" s="3">
        <v>374.17</v>
      </c>
      <c r="J52" s="3">
        <v>2619.19</v>
      </c>
    </row>
    <row r="53" spans="1:10" x14ac:dyDescent="0.25">
      <c r="A53" s="3" t="s">
        <v>7</v>
      </c>
      <c r="B53" s="8">
        <v>116</v>
      </c>
      <c r="C53" s="8">
        <v>20.034600000000001</v>
      </c>
      <c r="D53" s="8">
        <v>85.026200000000003</v>
      </c>
      <c r="E53" s="3">
        <v>2</v>
      </c>
      <c r="F53" s="3">
        <v>751.75</v>
      </c>
      <c r="G53" s="3">
        <v>1503.5</v>
      </c>
      <c r="H53" s="3">
        <v>751.75</v>
      </c>
      <c r="I53" s="3">
        <v>375.88</v>
      </c>
      <c r="J53" s="3">
        <v>2631.13</v>
      </c>
    </row>
    <row r="54" spans="1:10" x14ac:dyDescent="0.25">
      <c r="A54" s="3" t="s">
        <v>7</v>
      </c>
      <c r="B54" s="8">
        <v>37</v>
      </c>
      <c r="C54" s="8">
        <v>20.010300000000001</v>
      </c>
      <c r="D54" s="8">
        <v>84.975499999999997</v>
      </c>
      <c r="E54" s="3">
        <v>2</v>
      </c>
      <c r="F54" s="3">
        <v>757.34</v>
      </c>
      <c r="G54" s="3">
        <v>1514.68</v>
      </c>
      <c r="H54" s="3">
        <v>757.34</v>
      </c>
      <c r="I54" s="3">
        <v>378.67</v>
      </c>
      <c r="J54" s="3">
        <v>2650.69</v>
      </c>
    </row>
    <row r="55" spans="1:10" x14ac:dyDescent="0.25">
      <c r="A55" s="3" t="s">
        <v>7</v>
      </c>
      <c r="B55" s="8">
        <v>281</v>
      </c>
      <c r="C55" s="8">
        <v>20.052299999999999</v>
      </c>
      <c r="D55" s="8">
        <v>85.143699999999995</v>
      </c>
      <c r="E55" s="3">
        <v>2</v>
      </c>
      <c r="F55" s="3">
        <v>773.85</v>
      </c>
      <c r="G55" s="3">
        <v>1547.7</v>
      </c>
      <c r="H55" s="3">
        <v>773.85</v>
      </c>
      <c r="I55" s="3">
        <v>386.93</v>
      </c>
      <c r="J55" s="3">
        <v>2708.48</v>
      </c>
    </row>
    <row r="56" spans="1:10" x14ac:dyDescent="0.25">
      <c r="A56" s="3" t="s">
        <v>7</v>
      </c>
      <c r="B56" s="8">
        <v>119</v>
      </c>
      <c r="C56" s="8">
        <v>20.033999999999999</v>
      </c>
      <c r="D56" s="8">
        <v>85.027699999999996</v>
      </c>
      <c r="E56" s="3">
        <v>2</v>
      </c>
      <c r="F56" s="3">
        <v>782.1</v>
      </c>
      <c r="G56" s="3">
        <v>1564.2</v>
      </c>
      <c r="H56" s="3">
        <v>782.1</v>
      </c>
      <c r="I56" s="3">
        <v>391.05</v>
      </c>
      <c r="J56" s="3">
        <v>2737.35</v>
      </c>
    </row>
    <row r="57" spans="1:10" x14ac:dyDescent="0.25">
      <c r="A57" s="3" t="s">
        <v>7</v>
      </c>
      <c r="B57" s="8">
        <v>141</v>
      </c>
      <c r="C57" s="8">
        <v>20.056100000000001</v>
      </c>
      <c r="D57" s="8">
        <v>85.026600000000002</v>
      </c>
      <c r="E57" s="3">
        <v>2</v>
      </c>
      <c r="F57" s="3">
        <v>783.64</v>
      </c>
      <c r="G57" s="3">
        <v>1567.28</v>
      </c>
      <c r="H57" s="3">
        <v>783.64</v>
      </c>
      <c r="I57" s="3">
        <v>391.82</v>
      </c>
      <c r="J57" s="3">
        <v>2742.74</v>
      </c>
    </row>
    <row r="58" spans="1:10" x14ac:dyDescent="0.25">
      <c r="A58" s="3" t="s">
        <v>7</v>
      </c>
      <c r="B58" s="8">
        <v>241</v>
      </c>
      <c r="C58" s="8">
        <v>20.012</v>
      </c>
      <c r="D58" s="8">
        <v>85.083799999999997</v>
      </c>
      <c r="E58" s="3">
        <v>2</v>
      </c>
      <c r="F58" s="3">
        <v>807.12</v>
      </c>
      <c r="G58" s="3">
        <v>1614.24</v>
      </c>
      <c r="H58" s="3">
        <v>807.12</v>
      </c>
      <c r="I58" s="3">
        <v>403.56</v>
      </c>
      <c r="J58" s="3">
        <v>2824.92</v>
      </c>
    </row>
    <row r="59" spans="1:10" x14ac:dyDescent="0.25">
      <c r="A59" s="3" t="s">
        <v>7</v>
      </c>
      <c r="B59" s="8">
        <v>8</v>
      </c>
      <c r="C59" s="8">
        <v>20.0457</v>
      </c>
      <c r="D59" s="8">
        <v>85.031300000000002</v>
      </c>
      <c r="E59" s="3">
        <v>2</v>
      </c>
      <c r="F59" s="3">
        <v>830.15</v>
      </c>
      <c r="G59" s="3">
        <v>1660.3</v>
      </c>
      <c r="H59" s="3">
        <v>830.15</v>
      </c>
      <c r="I59" s="3">
        <v>415.08</v>
      </c>
      <c r="J59" s="3">
        <v>2905.53</v>
      </c>
    </row>
    <row r="60" spans="1:10" x14ac:dyDescent="0.25">
      <c r="A60" s="3" t="s">
        <v>7</v>
      </c>
      <c r="B60" s="8">
        <v>185</v>
      </c>
      <c r="C60" s="8">
        <v>20.034300000000002</v>
      </c>
      <c r="D60" s="8">
        <v>85.080100000000002</v>
      </c>
      <c r="E60" s="3">
        <v>3</v>
      </c>
      <c r="F60" s="3">
        <v>579.6</v>
      </c>
      <c r="G60" s="3">
        <v>1738.8</v>
      </c>
      <c r="H60" s="3">
        <v>869.4</v>
      </c>
      <c r="I60" s="3">
        <v>434.7</v>
      </c>
      <c r="J60" s="3">
        <v>3042.9</v>
      </c>
    </row>
    <row r="61" spans="1:10" x14ac:dyDescent="0.25">
      <c r="A61" s="3" t="s">
        <v>7</v>
      </c>
      <c r="B61" s="8">
        <v>180</v>
      </c>
      <c r="C61" s="8">
        <v>20.024999999999999</v>
      </c>
      <c r="D61" s="8">
        <v>85.070899999999995</v>
      </c>
      <c r="E61" s="3">
        <v>2</v>
      </c>
      <c r="F61" s="3">
        <v>872.79</v>
      </c>
      <c r="G61" s="3">
        <v>1745.58</v>
      </c>
      <c r="H61" s="3">
        <v>872.79</v>
      </c>
      <c r="I61" s="3">
        <v>436.4</v>
      </c>
      <c r="J61" s="3">
        <v>3054.77</v>
      </c>
    </row>
    <row r="62" spans="1:10" x14ac:dyDescent="0.25">
      <c r="A62" s="3" t="s">
        <v>7</v>
      </c>
      <c r="B62" s="8">
        <v>104</v>
      </c>
      <c r="C62" s="8">
        <v>20.014099999999999</v>
      </c>
      <c r="D62" s="8">
        <v>85.03</v>
      </c>
      <c r="E62" s="3">
        <v>2</v>
      </c>
      <c r="F62" s="3">
        <v>882.12</v>
      </c>
      <c r="G62" s="3">
        <v>1764.24</v>
      </c>
      <c r="H62" s="3">
        <v>882.12</v>
      </c>
      <c r="I62" s="3">
        <v>441.06</v>
      </c>
      <c r="J62" s="3">
        <v>3087.42</v>
      </c>
    </row>
    <row r="63" spans="1:10" x14ac:dyDescent="0.25">
      <c r="A63" s="3" t="s">
        <v>7</v>
      </c>
      <c r="B63" s="8">
        <v>52</v>
      </c>
      <c r="C63" s="8">
        <v>20.032299999999999</v>
      </c>
      <c r="D63" s="8">
        <v>85.007300000000001</v>
      </c>
      <c r="E63" s="3">
        <v>2</v>
      </c>
      <c r="F63" s="3">
        <v>897.83</v>
      </c>
      <c r="G63" s="3">
        <v>1795.66</v>
      </c>
      <c r="H63" s="3">
        <v>897.83</v>
      </c>
      <c r="I63" s="3">
        <v>448.92</v>
      </c>
      <c r="J63" s="3">
        <v>3142.41</v>
      </c>
    </row>
    <row r="64" spans="1:10" x14ac:dyDescent="0.25">
      <c r="A64" s="3" t="s">
        <v>7</v>
      </c>
      <c r="B64" s="8">
        <v>237</v>
      </c>
      <c r="C64" s="8">
        <v>20.037099999999999</v>
      </c>
      <c r="D64" s="8">
        <v>85.111599999999996</v>
      </c>
      <c r="E64" s="3">
        <v>3</v>
      </c>
      <c r="F64" s="3">
        <v>604.22</v>
      </c>
      <c r="G64" s="3">
        <v>1812.66</v>
      </c>
      <c r="H64" s="3">
        <v>906.33</v>
      </c>
      <c r="I64" s="3">
        <v>453.17</v>
      </c>
      <c r="J64" s="3">
        <v>3172.16</v>
      </c>
    </row>
    <row r="65" spans="1:10" x14ac:dyDescent="0.25">
      <c r="A65" s="3" t="s">
        <v>7</v>
      </c>
      <c r="B65" s="8">
        <v>267</v>
      </c>
      <c r="C65" s="8">
        <v>20.0579</v>
      </c>
      <c r="D65" s="8">
        <v>85.152100000000004</v>
      </c>
      <c r="E65" s="3">
        <v>4</v>
      </c>
      <c r="F65" s="3">
        <v>472.47</v>
      </c>
      <c r="G65" s="3">
        <v>1889.88</v>
      </c>
      <c r="H65" s="3">
        <v>944.94</v>
      </c>
      <c r="I65" s="3">
        <v>472.47</v>
      </c>
      <c r="J65" s="3">
        <v>3307.29</v>
      </c>
    </row>
    <row r="66" spans="1:10" x14ac:dyDescent="0.25">
      <c r="A66" s="3" t="s">
        <v>7</v>
      </c>
      <c r="B66" s="8">
        <v>66</v>
      </c>
      <c r="C66" s="8">
        <v>20.0153</v>
      </c>
      <c r="D66" s="8">
        <v>85.007800000000003</v>
      </c>
      <c r="E66" s="3">
        <v>3</v>
      </c>
      <c r="F66" s="3">
        <v>631.09</v>
      </c>
      <c r="G66" s="3">
        <v>1893.27</v>
      </c>
      <c r="H66" s="3">
        <v>946.64</v>
      </c>
      <c r="I66" s="3">
        <v>473.32</v>
      </c>
      <c r="J66" s="3">
        <v>3313.23</v>
      </c>
    </row>
    <row r="67" spans="1:10" x14ac:dyDescent="0.25">
      <c r="A67" s="3" t="s">
        <v>7</v>
      </c>
      <c r="B67" s="8">
        <v>205</v>
      </c>
      <c r="C67" s="8">
        <v>20.053899999999999</v>
      </c>
      <c r="D67" s="8">
        <v>85.077100000000002</v>
      </c>
      <c r="E67" s="3">
        <v>2</v>
      </c>
      <c r="F67" s="3">
        <v>976.67</v>
      </c>
      <c r="G67" s="3">
        <v>1953.34</v>
      </c>
      <c r="H67" s="3">
        <v>976.67</v>
      </c>
      <c r="I67" s="3">
        <v>488.34</v>
      </c>
      <c r="J67" s="3">
        <v>3418.35</v>
      </c>
    </row>
    <row r="68" spans="1:10" x14ac:dyDescent="0.25">
      <c r="A68" s="3" t="s">
        <v>7</v>
      </c>
      <c r="B68" s="8">
        <v>190</v>
      </c>
      <c r="C68" s="8">
        <v>20.042400000000001</v>
      </c>
      <c r="D68" s="8">
        <v>85.105000000000004</v>
      </c>
      <c r="E68" s="3">
        <v>3</v>
      </c>
      <c r="F68" s="3">
        <v>653.04999999999995</v>
      </c>
      <c r="G68" s="3">
        <v>1959.15</v>
      </c>
      <c r="H68" s="3">
        <v>979.58</v>
      </c>
      <c r="I68" s="3">
        <v>489.79</v>
      </c>
      <c r="J68" s="3">
        <v>3428.52</v>
      </c>
    </row>
    <row r="69" spans="1:10" x14ac:dyDescent="0.25">
      <c r="A69" s="3" t="s">
        <v>7</v>
      </c>
      <c r="B69" s="8">
        <v>227</v>
      </c>
      <c r="C69" s="8">
        <v>20.027799999999999</v>
      </c>
      <c r="D69" s="8">
        <v>85.088399999999993</v>
      </c>
      <c r="E69" s="3">
        <v>3</v>
      </c>
      <c r="F69" s="3">
        <v>690.2</v>
      </c>
      <c r="G69" s="3">
        <v>2070.6</v>
      </c>
      <c r="H69" s="3">
        <v>1035.3</v>
      </c>
      <c r="I69" s="3">
        <v>517.65</v>
      </c>
      <c r="J69" s="3">
        <v>3623.55</v>
      </c>
    </row>
    <row r="70" spans="1:10" x14ac:dyDescent="0.25">
      <c r="A70" s="3" t="s">
        <v>7</v>
      </c>
      <c r="B70" s="8">
        <v>177</v>
      </c>
      <c r="C70" s="8">
        <v>20.033300000000001</v>
      </c>
      <c r="D70" s="8">
        <v>85.0488</v>
      </c>
      <c r="E70" s="3">
        <v>2</v>
      </c>
      <c r="F70" s="3">
        <v>1053.96</v>
      </c>
      <c r="G70" s="3">
        <v>2107.92</v>
      </c>
      <c r="H70" s="3">
        <v>1053.96</v>
      </c>
      <c r="I70" s="3">
        <v>526.98</v>
      </c>
      <c r="J70" s="3">
        <v>3688.86</v>
      </c>
    </row>
    <row r="71" spans="1:10" x14ac:dyDescent="0.25">
      <c r="A71" s="3" t="s">
        <v>7</v>
      </c>
      <c r="B71" s="8">
        <v>144</v>
      </c>
      <c r="C71" s="8">
        <v>20.049199999999999</v>
      </c>
      <c r="D71" s="8">
        <v>85.040300000000002</v>
      </c>
      <c r="E71" s="3">
        <v>2</v>
      </c>
      <c r="F71" s="3">
        <v>1061.56</v>
      </c>
      <c r="G71" s="3">
        <v>2123.12</v>
      </c>
      <c r="H71" s="3">
        <v>1061.56</v>
      </c>
      <c r="I71" s="3">
        <v>530.78</v>
      </c>
      <c r="J71" s="3">
        <v>3715.46</v>
      </c>
    </row>
    <row r="72" spans="1:10" x14ac:dyDescent="0.25">
      <c r="A72" s="3" t="s">
        <v>7</v>
      </c>
      <c r="B72" s="8">
        <v>254</v>
      </c>
      <c r="C72" s="8">
        <v>20.027699999999999</v>
      </c>
      <c r="D72" s="8">
        <v>85.120599999999996</v>
      </c>
      <c r="E72" s="3">
        <v>3</v>
      </c>
      <c r="F72" s="3">
        <v>735.19</v>
      </c>
      <c r="G72" s="3">
        <v>2205.5700000000002</v>
      </c>
      <c r="H72" s="3">
        <v>1102.79</v>
      </c>
      <c r="I72" s="3">
        <v>551.39</v>
      </c>
      <c r="J72" s="3">
        <v>3859.75</v>
      </c>
    </row>
    <row r="73" spans="1:10" x14ac:dyDescent="0.25">
      <c r="A73" s="3" t="s">
        <v>7</v>
      </c>
      <c r="B73" s="8">
        <v>108</v>
      </c>
      <c r="C73" s="8">
        <v>20.0184</v>
      </c>
      <c r="D73" s="8">
        <v>85.043000000000006</v>
      </c>
      <c r="E73" s="3">
        <v>2</v>
      </c>
      <c r="F73" s="3">
        <v>1136.1400000000001</v>
      </c>
      <c r="G73" s="3">
        <v>2272.2800000000002</v>
      </c>
      <c r="H73" s="3">
        <v>1136.1400000000001</v>
      </c>
      <c r="I73" s="3">
        <v>568.07000000000005</v>
      </c>
      <c r="J73" s="3">
        <v>3976.49</v>
      </c>
    </row>
    <row r="74" spans="1:10" x14ac:dyDescent="0.25">
      <c r="A74" s="3" t="s">
        <v>7</v>
      </c>
      <c r="B74" s="8">
        <v>213</v>
      </c>
      <c r="C74" s="8">
        <v>20.066600000000001</v>
      </c>
      <c r="D74" s="8">
        <v>85.090999999999994</v>
      </c>
      <c r="E74" s="3">
        <v>2</v>
      </c>
      <c r="F74" s="3">
        <v>1139.55</v>
      </c>
      <c r="G74" s="3">
        <v>2279.1</v>
      </c>
      <c r="H74" s="3">
        <v>1139.55</v>
      </c>
      <c r="I74" s="3">
        <v>569.78</v>
      </c>
      <c r="J74" s="3">
        <v>3988.43</v>
      </c>
    </row>
    <row r="75" spans="1:10" x14ac:dyDescent="0.25">
      <c r="A75" s="3" t="s">
        <v>7</v>
      </c>
      <c r="B75" s="8">
        <v>282</v>
      </c>
      <c r="C75" s="8">
        <v>20.0336</v>
      </c>
      <c r="D75" s="8">
        <v>85.086799999999997</v>
      </c>
      <c r="E75" s="3">
        <v>4</v>
      </c>
      <c r="F75" s="3">
        <v>579.34</v>
      </c>
      <c r="G75" s="3">
        <v>2317.36</v>
      </c>
      <c r="H75" s="3">
        <v>1158.68</v>
      </c>
      <c r="I75" s="3">
        <v>579.34</v>
      </c>
      <c r="J75" s="3">
        <v>4055.38</v>
      </c>
    </row>
    <row r="76" spans="1:10" x14ac:dyDescent="0.25">
      <c r="A76" s="3" t="s">
        <v>7</v>
      </c>
      <c r="B76" s="8">
        <v>140</v>
      </c>
      <c r="C76" s="8">
        <v>20.048300000000001</v>
      </c>
      <c r="D76" s="8">
        <v>85.029899999999998</v>
      </c>
      <c r="E76" s="3">
        <v>2</v>
      </c>
      <c r="F76" s="3">
        <v>1189.6199999999999</v>
      </c>
      <c r="G76" s="3">
        <v>2379.2399999999998</v>
      </c>
      <c r="H76" s="3">
        <v>1189.6199999999999</v>
      </c>
      <c r="I76" s="3">
        <v>594.80999999999995</v>
      </c>
      <c r="J76" s="3">
        <v>4163.67</v>
      </c>
    </row>
    <row r="77" spans="1:10" x14ac:dyDescent="0.25">
      <c r="A77" s="3" t="s">
        <v>7</v>
      </c>
      <c r="B77" s="8">
        <v>167</v>
      </c>
      <c r="C77" s="8">
        <v>20.020099999999999</v>
      </c>
      <c r="D77" s="8">
        <v>85.0595</v>
      </c>
      <c r="E77" s="3">
        <v>2</v>
      </c>
      <c r="F77" s="3">
        <v>1205.73</v>
      </c>
      <c r="G77" s="3">
        <v>2411.46</v>
      </c>
      <c r="H77" s="3">
        <v>1205.73</v>
      </c>
      <c r="I77" s="3">
        <v>602.87</v>
      </c>
      <c r="J77" s="3">
        <v>4220.0600000000004</v>
      </c>
    </row>
    <row r="78" spans="1:10" x14ac:dyDescent="0.25">
      <c r="A78" s="3" t="s">
        <v>7</v>
      </c>
      <c r="B78" s="8">
        <v>150</v>
      </c>
      <c r="C78" s="8">
        <v>20.024899999999999</v>
      </c>
      <c r="D78" s="8">
        <v>85.032200000000003</v>
      </c>
      <c r="E78" s="3">
        <v>3</v>
      </c>
      <c r="F78" s="3">
        <v>806.06</v>
      </c>
      <c r="G78" s="3">
        <v>2418.1799999999998</v>
      </c>
      <c r="H78" s="3">
        <v>1209.0899999999999</v>
      </c>
      <c r="I78" s="3">
        <v>604.54</v>
      </c>
      <c r="J78" s="3">
        <v>4231.8100000000004</v>
      </c>
    </row>
    <row r="79" spans="1:10" x14ac:dyDescent="0.25">
      <c r="A79" s="3" t="s">
        <v>7</v>
      </c>
      <c r="B79" s="8">
        <v>71</v>
      </c>
      <c r="C79" s="8">
        <v>20.0242</v>
      </c>
      <c r="D79" s="8">
        <v>85.000200000000007</v>
      </c>
      <c r="E79" s="3">
        <v>2.5</v>
      </c>
      <c r="F79" s="3">
        <v>976.03</v>
      </c>
      <c r="G79" s="3">
        <v>2440.0700000000002</v>
      </c>
      <c r="H79" s="3">
        <v>1220.04</v>
      </c>
      <c r="I79" s="3">
        <v>610.02</v>
      </c>
      <c r="J79" s="3">
        <v>4270.13</v>
      </c>
    </row>
    <row r="80" spans="1:10" x14ac:dyDescent="0.25">
      <c r="A80" s="3" t="s">
        <v>7</v>
      </c>
      <c r="B80" s="8">
        <v>151</v>
      </c>
      <c r="C80" s="8">
        <v>20.005700000000001</v>
      </c>
      <c r="D80" s="8">
        <v>85.036000000000001</v>
      </c>
      <c r="E80" s="3">
        <v>3</v>
      </c>
      <c r="F80" s="3">
        <v>834.92</v>
      </c>
      <c r="G80" s="3">
        <v>2504.7600000000002</v>
      </c>
      <c r="H80" s="3">
        <v>1252.3800000000001</v>
      </c>
      <c r="I80" s="3">
        <v>626.19000000000005</v>
      </c>
      <c r="J80" s="3">
        <v>4383.33</v>
      </c>
    </row>
    <row r="81" spans="1:10" x14ac:dyDescent="0.25">
      <c r="A81" s="3" t="s">
        <v>7</v>
      </c>
      <c r="B81" s="8">
        <v>63</v>
      </c>
      <c r="C81" s="8">
        <v>20.011700000000001</v>
      </c>
      <c r="D81" s="8">
        <v>85.005799999999994</v>
      </c>
      <c r="E81" s="3">
        <v>2</v>
      </c>
      <c r="F81" s="3">
        <v>1253.43</v>
      </c>
      <c r="G81" s="3">
        <v>2506.86</v>
      </c>
      <c r="H81" s="3">
        <v>1253.43</v>
      </c>
      <c r="I81" s="3">
        <v>626.72</v>
      </c>
      <c r="J81" s="3">
        <v>4387.01</v>
      </c>
    </row>
    <row r="82" spans="1:10" x14ac:dyDescent="0.25">
      <c r="A82" s="3" t="s">
        <v>7</v>
      </c>
      <c r="B82" s="8">
        <v>9</v>
      </c>
      <c r="C82" s="8">
        <v>20.0091</v>
      </c>
      <c r="D82" s="8">
        <v>85.007599999999996</v>
      </c>
      <c r="E82" s="3">
        <v>3</v>
      </c>
      <c r="F82" s="3">
        <v>857.31</v>
      </c>
      <c r="G82" s="3">
        <v>2571.9299999999998</v>
      </c>
      <c r="H82" s="3">
        <v>1285.96</v>
      </c>
      <c r="I82" s="3">
        <v>642.98</v>
      </c>
      <c r="J82" s="3">
        <v>4500.87</v>
      </c>
    </row>
    <row r="83" spans="1:10" x14ac:dyDescent="0.25">
      <c r="A83" s="3" t="s">
        <v>7</v>
      </c>
      <c r="B83" s="8">
        <v>33</v>
      </c>
      <c r="C83" s="8">
        <v>19.992599999999999</v>
      </c>
      <c r="D83" s="8">
        <v>84.973100000000002</v>
      </c>
      <c r="E83" s="3">
        <v>3</v>
      </c>
      <c r="F83" s="3">
        <v>877.95</v>
      </c>
      <c r="G83" s="3">
        <v>2633.85</v>
      </c>
      <c r="H83" s="3">
        <v>1316.93</v>
      </c>
      <c r="I83" s="3">
        <v>658.46</v>
      </c>
      <c r="J83" s="3">
        <v>4609.24</v>
      </c>
    </row>
    <row r="84" spans="1:10" x14ac:dyDescent="0.25">
      <c r="A84" s="3" t="s">
        <v>7</v>
      </c>
      <c r="B84" s="8">
        <v>179</v>
      </c>
      <c r="C84" s="8">
        <v>20.025400000000001</v>
      </c>
      <c r="D84" s="8">
        <v>85.071700000000007</v>
      </c>
      <c r="E84" s="3">
        <v>2</v>
      </c>
      <c r="F84" s="3">
        <v>1341.21</v>
      </c>
      <c r="G84" s="3">
        <v>2682.42</v>
      </c>
      <c r="H84" s="3">
        <v>1341.21</v>
      </c>
      <c r="I84" s="3">
        <v>670.61</v>
      </c>
      <c r="J84" s="3">
        <v>4694.24</v>
      </c>
    </row>
    <row r="85" spans="1:10" x14ac:dyDescent="0.25">
      <c r="A85" s="3" t="s">
        <v>7</v>
      </c>
      <c r="B85" s="8">
        <v>228</v>
      </c>
      <c r="C85" s="8">
        <v>20.028199999999998</v>
      </c>
      <c r="D85" s="8">
        <v>85.088899999999995</v>
      </c>
      <c r="E85" s="3">
        <v>3</v>
      </c>
      <c r="F85" s="3">
        <v>907.12</v>
      </c>
      <c r="G85" s="3">
        <v>2721.36</v>
      </c>
      <c r="H85" s="3">
        <v>1360.68</v>
      </c>
      <c r="I85" s="3">
        <v>680.34</v>
      </c>
      <c r="J85" s="3">
        <v>4762.38</v>
      </c>
    </row>
    <row r="86" spans="1:10" x14ac:dyDescent="0.25">
      <c r="A86" s="3" t="s">
        <v>7</v>
      </c>
      <c r="B86" s="8">
        <v>45</v>
      </c>
      <c r="C86" s="8">
        <v>20.020299999999999</v>
      </c>
      <c r="D86" s="8">
        <v>84.981099999999998</v>
      </c>
      <c r="E86" s="3">
        <v>2</v>
      </c>
      <c r="F86" s="3">
        <v>1361.72</v>
      </c>
      <c r="G86" s="3">
        <v>2723.44</v>
      </c>
      <c r="H86" s="3">
        <v>1361.72</v>
      </c>
      <c r="I86" s="3">
        <v>680.86</v>
      </c>
      <c r="J86" s="3">
        <v>4766.0200000000004</v>
      </c>
    </row>
    <row r="87" spans="1:10" x14ac:dyDescent="0.25">
      <c r="A87" s="3" t="s">
        <v>7</v>
      </c>
      <c r="B87" s="8">
        <v>252</v>
      </c>
      <c r="C87" s="8">
        <v>20.0322</v>
      </c>
      <c r="D87" s="8">
        <v>85.12</v>
      </c>
      <c r="E87" s="3">
        <v>3</v>
      </c>
      <c r="F87" s="3">
        <v>917.97</v>
      </c>
      <c r="G87" s="3">
        <v>2753.91</v>
      </c>
      <c r="H87" s="3">
        <v>1376.96</v>
      </c>
      <c r="I87" s="3">
        <v>688.48</v>
      </c>
      <c r="J87" s="3">
        <v>4819.3500000000004</v>
      </c>
    </row>
    <row r="88" spans="1:10" x14ac:dyDescent="0.25">
      <c r="A88" s="3" t="s">
        <v>7</v>
      </c>
      <c r="B88" s="8">
        <v>233</v>
      </c>
      <c r="C88" s="8">
        <v>20.0349</v>
      </c>
      <c r="D88" s="8">
        <v>85.102199999999996</v>
      </c>
      <c r="E88" s="3">
        <v>2</v>
      </c>
      <c r="F88" s="3">
        <v>1402.34</v>
      </c>
      <c r="G88" s="3">
        <v>2804.68</v>
      </c>
      <c r="H88" s="3">
        <v>1402.34</v>
      </c>
      <c r="I88" s="3">
        <v>701.17</v>
      </c>
      <c r="J88" s="3">
        <v>4908.1899999999996</v>
      </c>
    </row>
    <row r="89" spans="1:10" x14ac:dyDescent="0.25">
      <c r="A89" s="3" t="s">
        <v>7</v>
      </c>
      <c r="B89" s="8">
        <v>261</v>
      </c>
      <c r="C89" s="8">
        <v>20.0428</v>
      </c>
      <c r="D89" s="8">
        <v>85.126800000000003</v>
      </c>
      <c r="E89" s="3">
        <v>2</v>
      </c>
      <c r="F89" s="3">
        <v>1402.35</v>
      </c>
      <c r="G89" s="3">
        <v>2804.7</v>
      </c>
      <c r="H89" s="3">
        <v>1402.35</v>
      </c>
      <c r="I89" s="3">
        <v>701.18</v>
      </c>
      <c r="J89" s="3">
        <v>4908.2299999999996</v>
      </c>
    </row>
    <row r="90" spans="1:10" x14ac:dyDescent="0.25">
      <c r="A90" s="3" t="s">
        <v>7</v>
      </c>
      <c r="B90" s="8">
        <v>136</v>
      </c>
      <c r="C90" s="8">
        <v>20.051400000000001</v>
      </c>
      <c r="D90" s="8">
        <v>85.021699999999996</v>
      </c>
      <c r="E90" s="3">
        <v>2</v>
      </c>
      <c r="F90" s="3">
        <v>1429.34</v>
      </c>
      <c r="G90" s="3">
        <v>2858.68</v>
      </c>
      <c r="H90" s="3">
        <v>1429.34</v>
      </c>
      <c r="I90" s="3">
        <v>714.67</v>
      </c>
      <c r="J90" s="3">
        <v>5002.6899999999996</v>
      </c>
    </row>
    <row r="91" spans="1:10" x14ac:dyDescent="0.25">
      <c r="A91" s="3" t="s">
        <v>7</v>
      </c>
      <c r="B91" s="8">
        <v>133</v>
      </c>
      <c r="C91" s="8">
        <v>20.0486</v>
      </c>
      <c r="D91" s="8">
        <v>85.021100000000004</v>
      </c>
      <c r="E91" s="3">
        <v>2</v>
      </c>
      <c r="F91" s="3">
        <v>1431.83</v>
      </c>
      <c r="G91" s="3">
        <v>2863.66</v>
      </c>
      <c r="H91" s="3">
        <v>1431.83</v>
      </c>
      <c r="I91" s="3">
        <v>715.92</v>
      </c>
      <c r="J91" s="3">
        <v>5011.41</v>
      </c>
    </row>
    <row r="92" spans="1:10" x14ac:dyDescent="0.25">
      <c r="A92" s="3" t="s">
        <v>7</v>
      </c>
      <c r="B92" s="8">
        <v>82</v>
      </c>
      <c r="C92" s="8">
        <v>20.010999999999999</v>
      </c>
      <c r="D92" s="8">
        <v>85.0107</v>
      </c>
      <c r="E92" s="3">
        <v>2</v>
      </c>
      <c r="F92" s="3">
        <v>1438.53</v>
      </c>
      <c r="G92" s="3">
        <v>2877.06</v>
      </c>
      <c r="H92" s="3">
        <v>1438.53</v>
      </c>
      <c r="I92" s="3">
        <v>719.27</v>
      </c>
      <c r="J92" s="3">
        <v>5034.8599999999997</v>
      </c>
    </row>
    <row r="93" spans="1:10" x14ac:dyDescent="0.25">
      <c r="A93" s="3" t="s">
        <v>7</v>
      </c>
      <c r="B93" s="8">
        <v>154</v>
      </c>
      <c r="C93" s="8">
        <v>20.009499999999999</v>
      </c>
      <c r="D93" s="8">
        <v>85.052199999999999</v>
      </c>
      <c r="E93" s="3">
        <v>2</v>
      </c>
      <c r="F93" s="3">
        <v>1453.04</v>
      </c>
      <c r="G93" s="3">
        <v>2906.08</v>
      </c>
      <c r="H93" s="3">
        <v>1453.04</v>
      </c>
      <c r="I93" s="3">
        <v>726.52</v>
      </c>
      <c r="J93" s="3">
        <v>5085.6400000000003</v>
      </c>
    </row>
    <row r="94" spans="1:10" x14ac:dyDescent="0.25">
      <c r="A94" s="3" t="s">
        <v>7</v>
      </c>
      <c r="B94" s="8">
        <v>273</v>
      </c>
      <c r="C94" s="8">
        <v>20.0336</v>
      </c>
      <c r="D94" s="8">
        <v>84.9619</v>
      </c>
      <c r="E94" s="3">
        <v>2.5</v>
      </c>
      <c r="F94" s="3">
        <v>1216.56</v>
      </c>
      <c r="G94" s="3">
        <v>3041.4</v>
      </c>
      <c r="H94" s="3">
        <v>1520.7</v>
      </c>
      <c r="I94" s="3">
        <v>760.35</v>
      </c>
      <c r="J94" s="3">
        <v>5322.45</v>
      </c>
    </row>
    <row r="95" spans="1:10" x14ac:dyDescent="0.25">
      <c r="A95" s="3" t="s">
        <v>7</v>
      </c>
      <c r="B95" s="8">
        <v>100</v>
      </c>
      <c r="C95" s="8">
        <v>20.0183</v>
      </c>
      <c r="D95" s="8">
        <v>85.026399999999995</v>
      </c>
      <c r="E95" s="3">
        <v>3</v>
      </c>
      <c r="F95" s="3">
        <v>1037.19</v>
      </c>
      <c r="G95" s="3">
        <v>3111.57</v>
      </c>
      <c r="H95" s="3">
        <v>1555.79</v>
      </c>
      <c r="I95" s="3">
        <v>777.89</v>
      </c>
      <c r="J95" s="3">
        <v>5445.25</v>
      </c>
    </row>
    <row r="96" spans="1:10" x14ac:dyDescent="0.25">
      <c r="A96" s="3" t="s">
        <v>7</v>
      </c>
      <c r="B96" s="8">
        <v>42</v>
      </c>
      <c r="C96" s="8">
        <v>20.020099999999999</v>
      </c>
      <c r="D96" s="8">
        <v>84.978800000000007</v>
      </c>
      <c r="E96" s="3">
        <v>2</v>
      </c>
      <c r="F96" s="3">
        <v>1584.45</v>
      </c>
      <c r="G96" s="3">
        <v>3168.9</v>
      </c>
      <c r="H96" s="3">
        <v>1584.45</v>
      </c>
      <c r="I96" s="3">
        <v>792.23</v>
      </c>
      <c r="J96" s="3">
        <v>5545.58</v>
      </c>
    </row>
    <row r="97" spans="1:10" x14ac:dyDescent="0.25">
      <c r="A97" s="3" t="s">
        <v>7</v>
      </c>
      <c r="B97" s="8">
        <v>54</v>
      </c>
      <c r="C97" s="8">
        <v>20.029900000000001</v>
      </c>
      <c r="D97" s="8">
        <v>85.001999999999995</v>
      </c>
      <c r="E97" s="3">
        <v>4</v>
      </c>
      <c r="F97" s="3">
        <v>801.58</v>
      </c>
      <c r="G97" s="3">
        <v>3206.32</v>
      </c>
      <c r="H97" s="3">
        <v>1603.16</v>
      </c>
      <c r="I97" s="3">
        <v>801.58</v>
      </c>
      <c r="J97" s="3">
        <v>5611.06</v>
      </c>
    </row>
    <row r="98" spans="1:10" x14ac:dyDescent="0.25">
      <c r="A98" s="3" t="s">
        <v>7</v>
      </c>
      <c r="B98" s="8">
        <v>125</v>
      </c>
      <c r="C98" s="8">
        <v>20.039400000000001</v>
      </c>
      <c r="D98" s="8">
        <v>85.033900000000003</v>
      </c>
      <c r="E98" s="3">
        <v>3</v>
      </c>
      <c r="F98" s="3">
        <v>1097.48</v>
      </c>
      <c r="G98" s="3">
        <v>3292.44</v>
      </c>
      <c r="H98" s="3">
        <v>1646.22</v>
      </c>
      <c r="I98" s="3">
        <v>823.11</v>
      </c>
      <c r="J98" s="3">
        <v>5761.77</v>
      </c>
    </row>
    <row r="99" spans="1:10" x14ac:dyDescent="0.25">
      <c r="A99" s="3" t="s">
        <v>7</v>
      </c>
      <c r="B99" s="8">
        <v>78</v>
      </c>
      <c r="C99" s="8">
        <v>20.022099999999998</v>
      </c>
      <c r="D99" s="8">
        <v>85.010199999999998</v>
      </c>
      <c r="E99" s="3">
        <v>2</v>
      </c>
      <c r="F99" s="3">
        <v>1723.81</v>
      </c>
      <c r="G99" s="3">
        <v>3447.62</v>
      </c>
      <c r="H99" s="3">
        <v>1723.81</v>
      </c>
      <c r="I99" s="3">
        <v>861.91</v>
      </c>
      <c r="J99" s="3">
        <v>6033.34</v>
      </c>
    </row>
    <row r="100" spans="1:10" x14ac:dyDescent="0.25">
      <c r="A100" s="3" t="s">
        <v>7</v>
      </c>
      <c r="B100" s="8">
        <v>25</v>
      </c>
      <c r="C100" s="8">
        <v>20.0075</v>
      </c>
      <c r="D100" s="8">
        <v>84.965800000000002</v>
      </c>
      <c r="E100" s="3">
        <v>2</v>
      </c>
      <c r="F100" s="3">
        <v>1837.4</v>
      </c>
      <c r="G100" s="3">
        <v>3674.8</v>
      </c>
      <c r="H100" s="3">
        <v>1837.4</v>
      </c>
      <c r="I100" s="3">
        <v>918.7</v>
      </c>
      <c r="J100" s="3">
        <v>6430.9</v>
      </c>
    </row>
    <row r="101" spans="1:10" x14ac:dyDescent="0.25">
      <c r="A101" s="3" t="s">
        <v>7</v>
      </c>
      <c r="B101" s="8">
        <v>176</v>
      </c>
      <c r="C101" s="8">
        <v>20.033200000000001</v>
      </c>
      <c r="D101" s="8">
        <v>85.051100000000005</v>
      </c>
      <c r="E101" s="3">
        <v>2</v>
      </c>
      <c r="F101" s="3">
        <v>1864.37</v>
      </c>
      <c r="G101" s="3">
        <v>3728.74</v>
      </c>
      <c r="H101" s="3">
        <v>1864.37</v>
      </c>
      <c r="I101" s="3">
        <v>932.19</v>
      </c>
      <c r="J101" s="3">
        <v>6525.3</v>
      </c>
    </row>
    <row r="102" spans="1:10" x14ac:dyDescent="0.25">
      <c r="A102" s="3" t="s">
        <v>7</v>
      </c>
      <c r="B102" s="8">
        <v>35</v>
      </c>
      <c r="C102" s="8">
        <v>20.008700000000001</v>
      </c>
      <c r="D102" s="8">
        <v>84.973600000000005</v>
      </c>
      <c r="E102" s="3">
        <v>2</v>
      </c>
      <c r="F102" s="3">
        <v>1962.42</v>
      </c>
      <c r="G102" s="3">
        <v>3924.84</v>
      </c>
      <c r="H102" s="3">
        <v>1962.42</v>
      </c>
      <c r="I102" s="3">
        <v>981.21</v>
      </c>
      <c r="J102" s="3">
        <v>6868.47</v>
      </c>
    </row>
    <row r="103" spans="1:10" x14ac:dyDescent="0.25">
      <c r="A103" s="3" t="s">
        <v>7</v>
      </c>
      <c r="B103" s="8">
        <v>34</v>
      </c>
      <c r="C103" s="8">
        <v>20.0106</v>
      </c>
      <c r="D103" s="8">
        <v>84.970299999999995</v>
      </c>
      <c r="E103" s="3">
        <v>2</v>
      </c>
      <c r="F103" s="3">
        <v>1969.51</v>
      </c>
      <c r="G103" s="3">
        <v>3939.02</v>
      </c>
      <c r="H103" s="3">
        <v>1969.51</v>
      </c>
      <c r="I103" s="3">
        <v>984.76</v>
      </c>
      <c r="J103" s="3">
        <v>6893.29</v>
      </c>
    </row>
    <row r="104" spans="1:10" x14ac:dyDescent="0.25">
      <c r="A104" s="3" t="s">
        <v>7</v>
      </c>
      <c r="B104" s="8">
        <v>230</v>
      </c>
      <c r="C104" s="8">
        <v>20.032599999999999</v>
      </c>
      <c r="D104" s="8">
        <v>85.097800000000007</v>
      </c>
      <c r="E104" s="3">
        <v>3</v>
      </c>
      <c r="F104" s="3">
        <v>1404.43</v>
      </c>
      <c r="G104" s="3">
        <v>4213.29</v>
      </c>
      <c r="H104" s="3">
        <v>2106.65</v>
      </c>
      <c r="I104" s="3">
        <v>1053.32</v>
      </c>
      <c r="J104" s="3">
        <v>7373.26</v>
      </c>
    </row>
    <row r="105" spans="1:10" x14ac:dyDescent="0.25">
      <c r="A105" s="3" t="s">
        <v>7</v>
      </c>
      <c r="B105" s="8">
        <v>110</v>
      </c>
      <c r="C105" s="8">
        <v>20.028500000000001</v>
      </c>
      <c r="D105" s="8">
        <v>85.047200000000004</v>
      </c>
      <c r="E105" s="3">
        <v>3</v>
      </c>
      <c r="F105" s="3">
        <v>1414.12</v>
      </c>
      <c r="G105" s="3">
        <v>4242.3599999999997</v>
      </c>
      <c r="H105" s="3">
        <v>2121.1799999999998</v>
      </c>
      <c r="I105" s="3">
        <v>1060.5899999999999</v>
      </c>
      <c r="J105" s="3">
        <v>7424.13</v>
      </c>
    </row>
    <row r="106" spans="1:10" x14ac:dyDescent="0.25">
      <c r="A106" s="3" t="s">
        <v>7</v>
      </c>
      <c r="B106" s="8">
        <v>263</v>
      </c>
      <c r="C106" s="8">
        <v>20.039000000000001</v>
      </c>
      <c r="D106" s="8">
        <v>85.134699999999995</v>
      </c>
      <c r="E106" s="3">
        <v>2</v>
      </c>
      <c r="F106" s="3">
        <v>2149.75</v>
      </c>
      <c r="G106" s="3">
        <v>4299.5</v>
      </c>
      <c r="H106" s="3">
        <v>2149.75</v>
      </c>
      <c r="I106" s="3">
        <v>1074.8800000000001</v>
      </c>
      <c r="J106" s="3">
        <v>7524.13</v>
      </c>
    </row>
    <row r="107" spans="1:10" x14ac:dyDescent="0.25">
      <c r="A107" s="3" t="s">
        <v>7</v>
      </c>
      <c r="B107" s="8">
        <v>216</v>
      </c>
      <c r="C107" s="8">
        <v>20.049199999999999</v>
      </c>
      <c r="D107" s="8">
        <v>85.095500000000001</v>
      </c>
      <c r="E107" s="3">
        <v>3</v>
      </c>
      <c r="F107" s="3">
        <v>1447.74</v>
      </c>
      <c r="G107" s="3">
        <v>4343.22</v>
      </c>
      <c r="H107" s="3">
        <v>2171.61</v>
      </c>
      <c r="I107" s="3">
        <v>1085.81</v>
      </c>
      <c r="J107" s="3">
        <v>7600.64</v>
      </c>
    </row>
    <row r="108" spans="1:10" x14ac:dyDescent="0.25">
      <c r="A108" s="3" t="s">
        <v>7</v>
      </c>
      <c r="B108" s="8">
        <v>31</v>
      </c>
      <c r="C108" s="8">
        <v>19.996400000000001</v>
      </c>
      <c r="D108" s="8">
        <v>84.972899999999996</v>
      </c>
      <c r="E108" s="3">
        <v>4</v>
      </c>
      <c r="F108" s="3">
        <v>1121.71</v>
      </c>
      <c r="G108" s="3">
        <v>4486.84</v>
      </c>
      <c r="H108" s="3">
        <v>2243.42</v>
      </c>
      <c r="I108" s="3">
        <v>1121.71</v>
      </c>
      <c r="J108" s="3">
        <v>7851.97</v>
      </c>
    </row>
    <row r="109" spans="1:10" x14ac:dyDescent="0.25">
      <c r="A109" s="3" t="s">
        <v>7</v>
      </c>
      <c r="B109" s="8">
        <v>226</v>
      </c>
      <c r="C109" s="8">
        <v>20.027899999999999</v>
      </c>
      <c r="D109" s="8">
        <v>85.087500000000006</v>
      </c>
      <c r="E109" s="3">
        <v>3</v>
      </c>
      <c r="F109" s="3">
        <v>1507.35</v>
      </c>
      <c r="G109" s="3">
        <v>4522.05</v>
      </c>
      <c r="H109" s="3">
        <v>2261.02</v>
      </c>
      <c r="I109" s="3">
        <v>1130.51</v>
      </c>
      <c r="J109" s="3">
        <v>7913.58</v>
      </c>
    </row>
    <row r="110" spans="1:10" x14ac:dyDescent="0.25">
      <c r="A110" s="3" t="s">
        <v>7</v>
      </c>
      <c r="B110" s="8">
        <v>234</v>
      </c>
      <c r="C110" s="8">
        <v>20.036100000000001</v>
      </c>
      <c r="D110" s="8">
        <v>85.105599999999995</v>
      </c>
      <c r="E110" s="3">
        <v>2</v>
      </c>
      <c r="F110" s="3">
        <v>2280.6</v>
      </c>
      <c r="G110" s="3">
        <v>4561.2</v>
      </c>
      <c r="H110" s="3">
        <v>2280.6</v>
      </c>
      <c r="I110" s="3">
        <v>1140.3</v>
      </c>
      <c r="J110" s="3">
        <v>7982.1</v>
      </c>
    </row>
    <row r="111" spans="1:10" x14ac:dyDescent="0.25">
      <c r="A111" s="3" t="s">
        <v>7</v>
      </c>
      <c r="B111" s="8">
        <v>123</v>
      </c>
      <c r="C111" s="8">
        <v>20.039000000000001</v>
      </c>
      <c r="D111" s="8">
        <v>85.031700000000001</v>
      </c>
      <c r="E111" s="3">
        <v>3</v>
      </c>
      <c r="F111" s="3">
        <v>1530.71</v>
      </c>
      <c r="G111" s="3">
        <v>4592.13</v>
      </c>
      <c r="H111" s="3">
        <v>2296.0700000000002</v>
      </c>
      <c r="I111" s="3">
        <v>1148.03</v>
      </c>
      <c r="J111" s="3">
        <v>8036.23</v>
      </c>
    </row>
    <row r="112" spans="1:10" x14ac:dyDescent="0.25">
      <c r="A112" s="3" t="s">
        <v>7</v>
      </c>
      <c r="B112" s="8">
        <v>255</v>
      </c>
      <c r="C112" s="8">
        <v>20.0276</v>
      </c>
      <c r="D112" s="8">
        <v>85.1203</v>
      </c>
      <c r="E112" s="3">
        <v>3</v>
      </c>
      <c r="F112" s="3">
        <v>1606.96</v>
      </c>
      <c r="G112" s="3">
        <v>4820.88</v>
      </c>
      <c r="H112" s="3">
        <v>2410.44</v>
      </c>
      <c r="I112" s="3">
        <v>1205.22</v>
      </c>
      <c r="J112" s="3">
        <v>8436.5400000000009</v>
      </c>
    </row>
    <row r="113" spans="1:10" x14ac:dyDescent="0.25">
      <c r="A113" s="3" t="s">
        <v>7</v>
      </c>
      <c r="B113" s="8">
        <v>243</v>
      </c>
      <c r="C113" s="8">
        <v>20.021999999999998</v>
      </c>
      <c r="D113" s="8">
        <v>85.102400000000003</v>
      </c>
      <c r="E113" s="3">
        <v>4</v>
      </c>
      <c r="F113" s="3">
        <v>1211.47</v>
      </c>
      <c r="G113" s="3">
        <v>4845.88</v>
      </c>
      <c r="H113" s="3">
        <v>2422.94</v>
      </c>
      <c r="I113" s="3">
        <v>1211.47</v>
      </c>
      <c r="J113" s="3">
        <v>8480.2900000000009</v>
      </c>
    </row>
    <row r="114" spans="1:10" x14ac:dyDescent="0.25">
      <c r="A114" s="3" t="s">
        <v>7</v>
      </c>
      <c r="B114" s="8">
        <v>163</v>
      </c>
      <c r="C114" s="8">
        <v>20.017900000000001</v>
      </c>
      <c r="D114" s="8">
        <v>85.055800000000005</v>
      </c>
      <c r="E114" s="3">
        <v>3</v>
      </c>
      <c r="F114" s="3">
        <v>1628.98</v>
      </c>
      <c r="G114" s="3">
        <v>4886.9399999999996</v>
      </c>
      <c r="H114" s="3">
        <v>2443.4699999999998</v>
      </c>
      <c r="I114" s="3">
        <v>1221.74</v>
      </c>
      <c r="J114" s="3">
        <v>8552.15</v>
      </c>
    </row>
    <row r="115" spans="1:10" x14ac:dyDescent="0.25">
      <c r="A115" s="3" t="s">
        <v>7</v>
      </c>
      <c r="B115" s="8">
        <v>215</v>
      </c>
      <c r="C115" s="8">
        <v>20.0532</v>
      </c>
      <c r="D115" s="8">
        <v>85.096400000000003</v>
      </c>
      <c r="E115" s="3">
        <v>3</v>
      </c>
      <c r="F115" s="3">
        <v>1629.71</v>
      </c>
      <c r="G115" s="3">
        <v>4889.13</v>
      </c>
      <c r="H115" s="3">
        <v>2444.5700000000002</v>
      </c>
      <c r="I115" s="3">
        <v>1222.28</v>
      </c>
      <c r="J115" s="3">
        <v>8555.98</v>
      </c>
    </row>
    <row r="116" spans="1:10" x14ac:dyDescent="0.25">
      <c r="A116" s="3" t="s">
        <v>7</v>
      </c>
      <c r="B116" s="8">
        <v>239</v>
      </c>
      <c r="C116" s="8">
        <v>20.036999999999999</v>
      </c>
      <c r="D116" s="8">
        <v>85.114999999999995</v>
      </c>
      <c r="E116" s="3">
        <v>3</v>
      </c>
      <c r="F116" s="3">
        <v>1633.59</v>
      </c>
      <c r="G116" s="3">
        <v>4900.7700000000004</v>
      </c>
      <c r="H116" s="3">
        <v>2450.38</v>
      </c>
      <c r="I116" s="3">
        <v>1225.19</v>
      </c>
      <c r="J116" s="3">
        <v>8576.34</v>
      </c>
    </row>
    <row r="117" spans="1:10" x14ac:dyDescent="0.25">
      <c r="A117" s="3" t="s">
        <v>7</v>
      </c>
      <c r="B117" s="8">
        <v>259</v>
      </c>
      <c r="C117" s="8">
        <v>20.043800000000001</v>
      </c>
      <c r="D117" s="8">
        <v>85.125200000000007</v>
      </c>
      <c r="E117" s="3">
        <v>2</v>
      </c>
      <c r="F117" s="3">
        <v>2467.36</v>
      </c>
      <c r="G117" s="3">
        <v>4934.72</v>
      </c>
      <c r="H117" s="3">
        <v>2467.36</v>
      </c>
      <c r="I117" s="3">
        <v>1233.68</v>
      </c>
      <c r="J117" s="3">
        <v>8635.76</v>
      </c>
    </row>
    <row r="118" spans="1:10" x14ac:dyDescent="0.25">
      <c r="A118" s="3" t="s">
        <v>7</v>
      </c>
      <c r="B118" s="8">
        <v>109</v>
      </c>
      <c r="C118" s="8">
        <v>20.026499999999999</v>
      </c>
      <c r="D118" s="8">
        <v>85.046300000000002</v>
      </c>
      <c r="E118" s="3">
        <v>2.5</v>
      </c>
      <c r="F118" s="3">
        <v>1994.34</v>
      </c>
      <c r="G118" s="3">
        <v>4985.8500000000004</v>
      </c>
      <c r="H118" s="3">
        <v>2492.92</v>
      </c>
      <c r="I118" s="3">
        <v>1246.46</v>
      </c>
      <c r="J118" s="3">
        <v>8725.23</v>
      </c>
    </row>
    <row r="119" spans="1:10" x14ac:dyDescent="0.25">
      <c r="A119" s="3" t="s">
        <v>7</v>
      </c>
      <c r="B119" s="8">
        <v>85</v>
      </c>
      <c r="C119" s="8">
        <v>20.008299999999998</v>
      </c>
      <c r="D119" s="8">
        <v>85.014899999999997</v>
      </c>
      <c r="E119" s="3">
        <v>3</v>
      </c>
      <c r="F119" s="3">
        <v>1675.89</v>
      </c>
      <c r="G119" s="3">
        <v>5027.67</v>
      </c>
      <c r="H119" s="3">
        <v>2513.84</v>
      </c>
      <c r="I119" s="3">
        <v>1256.92</v>
      </c>
      <c r="J119" s="3">
        <v>8798.43</v>
      </c>
    </row>
    <row r="120" spans="1:10" x14ac:dyDescent="0.25">
      <c r="A120" s="3" t="s">
        <v>7</v>
      </c>
      <c r="B120" s="8">
        <v>171</v>
      </c>
      <c r="C120" s="8">
        <v>20.026299999999999</v>
      </c>
      <c r="D120" s="8">
        <v>85.048100000000005</v>
      </c>
      <c r="E120" s="3">
        <v>4</v>
      </c>
      <c r="F120" s="3">
        <v>1260.23</v>
      </c>
      <c r="G120" s="3">
        <v>5040.92</v>
      </c>
      <c r="H120" s="3">
        <v>2520.46</v>
      </c>
      <c r="I120" s="3">
        <v>1260.23</v>
      </c>
      <c r="J120" s="3">
        <v>8821.61</v>
      </c>
    </row>
    <row r="121" spans="1:10" x14ac:dyDescent="0.25">
      <c r="A121" s="3" t="s">
        <v>7</v>
      </c>
      <c r="B121" s="8">
        <v>98</v>
      </c>
      <c r="C121" s="8">
        <v>20.0167</v>
      </c>
      <c r="D121" s="8">
        <v>85.024900000000002</v>
      </c>
      <c r="E121" s="3">
        <v>4</v>
      </c>
      <c r="F121" s="3">
        <v>1313.77</v>
      </c>
      <c r="G121" s="3">
        <v>5255.08</v>
      </c>
      <c r="H121" s="3">
        <v>2627.54</v>
      </c>
      <c r="I121" s="3">
        <v>1313.77</v>
      </c>
      <c r="J121" s="3">
        <v>9196.39</v>
      </c>
    </row>
    <row r="122" spans="1:10" x14ac:dyDescent="0.25">
      <c r="A122" s="3" t="s">
        <v>7</v>
      </c>
      <c r="B122" s="8">
        <v>256</v>
      </c>
      <c r="C122" s="8">
        <v>20.032399999999999</v>
      </c>
      <c r="D122" s="8">
        <v>85.121600000000001</v>
      </c>
      <c r="E122" s="3">
        <v>3</v>
      </c>
      <c r="F122" s="3">
        <v>1804.52</v>
      </c>
      <c r="G122" s="3">
        <v>5413.56</v>
      </c>
      <c r="H122" s="3">
        <v>2706.78</v>
      </c>
      <c r="I122" s="3">
        <v>1353.39</v>
      </c>
      <c r="J122" s="3">
        <v>9473.73</v>
      </c>
    </row>
    <row r="123" spans="1:10" x14ac:dyDescent="0.25">
      <c r="A123" s="3" t="s">
        <v>7</v>
      </c>
      <c r="B123" s="8">
        <v>283</v>
      </c>
      <c r="C123" s="8">
        <v>20.020099999999999</v>
      </c>
      <c r="D123" s="8">
        <v>85.066500000000005</v>
      </c>
      <c r="E123" s="3">
        <v>3</v>
      </c>
      <c r="F123" s="3">
        <v>1809.96</v>
      </c>
      <c r="G123" s="3">
        <v>5429.88</v>
      </c>
      <c r="H123" s="3">
        <v>2714.94</v>
      </c>
      <c r="I123" s="3">
        <v>1357.47</v>
      </c>
      <c r="J123" s="3">
        <v>9502.2900000000009</v>
      </c>
    </row>
    <row r="124" spans="1:10" x14ac:dyDescent="0.25">
      <c r="A124" s="3" t="s">
        <v>7</v>
      </c>
      <c r="B124" s="8">
        <v>152</v>
      </c>
      <c r="C124" s="8">
        <v>20.0063</v>
      </c>
      <c r="D124" s="8">
        <v>85.037499999999994</v>
      </c>
      <c r="E124" s="3">
        <v>2.5</v>
      </c>
      <c r="F124" s="3">
        <v>2188.15</v>
      </c>
      <c r="G124" s="3">
        <v>5470.38</v>
      </c>
      <c r="H124" s="3">
        <v>2735.19</v>
      </c>
      <c r="I124" s="3">
        <v>1367.59</v>
      </c>
      <c r="J124" s="3">
        <v>9573.16</v>
      </c>
    </row>
    <row r="125" spans="1:10" x14ac:dyDescent="0.25">
      <c r="A125" s="3" t="s">
        <v>7</v>
      </c>
      <c r="B125" s="8">
        <v>62</v>
      </c>
      <c r="C125" s="8">
        <v>20.0093</v>
      </c>
      <c r="D125" s="8">
        <v>85.004999999999995</v>
      </c>
      <c r="E125" s="3">
        <v>3</v>
      </c>
      <c r="F125" s="3">
        <v>1879.15</v>
      </c>
      <c r="G125" s="3">
        <v>5637.45</v>
      </c>
      <c r="H125" s="3">
        <v>2818.73</v>
      </c>
      <c r="I125" s="3">
        <v>1409.36</v>
      </c>
      <c r="J125" s="3">
        <v>9865.5400000000009</v>
      </c>
    </row>
    <row r="126" spans="1:10" x14ac:dyDescent="0.25">
      <c r="A126" s="3" t="s">
        <v>7</v>
      </c>
      <c r="B126" s="8">
        <v>41</v>
      </c>
      <c r="C126" s="8">
        <v>20.0258</v>
      </c>
      <c r="D126" s="8">
        <v>84.972899999999996</v>
      </c>
      <c r="E126" s="3">
        <v>4</v>
      </c>
      <c r="F126" s="3">
        <v>1412.6</v>
      </c>
      <c r="G126" s="3">
        <v>5650.4</v>
      </c>
      <c r="H126" s="3">
        <v>2825.2</v>
      </c>
      <c r="I126" s="3">
        <v>1412.6</v>
      </c>
      <c r="J126" s="3">
        <v>9888.2000000000007</v>
      </c>
    </row>
    <row r="127" spans="1:10" x14ac:dyDescent="0.25">
      <c r="A127" s="3" t="s">
        <v>7</v>
      </c>
      <c r="B127" s="8">
        <v>69</v>
      </c>
      <c r="C127" s="8">
        <v>20.0167</v>
      </c>
      <c r="D127" s="8">
        <v>84.997600000000006</v>
      </c>
      <c r="E127" s="3">
        <v>3</v>
      </c>
      <c r="F127" s="3">
        <v>1915.78</v>
      </c>
      <c r="G127" s="3">
        <v>5747.34</v>
      </c>
      <c r="H127" s="3">
        <v>2873.67</v>
      </c>
      <c r="I127" s="3">
        <v>1436.84</v>
      </c>
      <c r="J127" s="3">
        <v>10057.85</v>
      </c>
    </row>
    <row r="128" spans="1:10" x14ac:dyDescent="0.25">
      <c r="A128" s="3" t="s">
        <v>7</v>
      </c>
      <c r="B128" s="8">
        <v>168</v>
      </c>
      <c r="C128" s="8">
        <v>20.023900000000001</v>
      </c>
      <c r="D128" s="8">
        <v>85.049300000000002</v>
      </c>
      <c r="E128" s="3">
        <v>3</v>
      </c>
      <c r="F128" s="3">
        <v>1916.72</v>
      </c>
      <c r="G128" s="3">
        <v>5750.16</v>
      </c>
      <c r="H128" s="3">
        <v>2875.08</v>
      </c>
      <c r="I128" s="3">
        <v>1437.54</v>
      </c>
      <c r="J128" s="3">
        <v>10062.780000000001</v>
      </c>
    </row>
    <row r="129" spans="1:10" x14ac:dyDescent="0.25">
      <c r="A129" s="3" t="s">
        <v>7</v>
      </c>
      <c r="B129" s="8">
        <v>189</v>
      </c>
      <c r="C129" s="8">
        <v>20.040099999999999</v>
      </c>
      <c r="D129" s="8">
        <v>85.104600000000005</v>
      </c>
      <c r="E129" s="3">
        <v>4</v>
      </c>
      <c r="F129" s="3">
        <v>1509.78</v>
      </c>
      <c r="G129" s="3">
        <v>6039.12</v>
      </c>
      <c r="H129" s="3">
        <v>3019.56</v>
      </c>
      <c r="I129" s="3">
        <v>1509.78</v>
      </c>
      <c r="J129" s="3">
        <v>10568.46</v>
      </c>
    </row>
    <row r="130" spans="1:10" x14ac:dyDescent="0.25">
      <c r="A130" s="3" t="s">
        <v>7</v>
      </c>
      <c r="B130" s="8">
        <v>20</v>
      </c>
      <c r="C130" s="8">
        <v>20.029900000000001</v>
      </c>
      <c r="D130" s="8">
        <v>84.963999999999999</v>
      </c>
      <c r="E130" s="3">
        <v>3</v>
      </c>
      <c r="F130" s="3">
        <v>2098.08</v>
      </c>
      <c r="G130" s="3">
        <v>6294.24</v>
      </c>
      <c r="H130" s="3">
        <v>3147.12</v>
      </c>
      <c r="I130" s="3">
        <v>1573.56</v>
      </c>
      <c r="J130" s="3">
        <v>11014.92</v>
      </c>
    </row>
    <row r="131" spans="1:10" x14ac:dyDescent="0.25">
      <c r="A131" s="3" t="s">
        <v>7</v>
      </c>
      <c r="B131" s="8">
        <v>3</v>
      </c>
      <c r="C131" s="8">
        <v>20.0108</v>
      </c>
      <c r="D131" s="8">
        <v>85.082499999999996</v>
      </c>
      <c r="E131" s="3">
        <v>3</v>
      </c>
      <c r="F131" s="3">
        <v>2124.0100000000002</v>
      </c>
      <c r="G131" s="3">
        <v>6372.03</v>
      </c>
      <c r="H131" s="3">
        <v>3186.02</v>
      </c>
      <c r="I131" s="3">
        <v>1593.01</v>
      </c>
      <c r="J131" s="3">
        <v>11151.06</v>
      </c>
    </row>
    <row r="132" spans="1:10" x14ac:dyDescent="0.25">
      <c r="A132" s="3" t="s">
        <v>7</v>
      </c>
      <c r="B132" s="8">
        <v>49</v>
      </c>
      <c r="C132" s="8">
        <v>20.033300000000001</v>
      </c>
      <c r="D132" s="8">
        <v>84.991600000000005</v>
      </c>
      <c r="E132" s="3">
        <v>4</v>
      </c>
      <c r="F132" s="3">
        <v>1605.13</v>
      </c>
      <c r="G132" s="3">
        <v>6420.52</v>
      </c>
      <c r="H132" s="3">
        <v>3210.26</v>
      </c>
      <c r="I132" s="3">
        <v>1605.13</v>
      </c>
      <c r="J132" s="3">
        <v>11235.91</v>
      </c>
    </row>
    <row r="133" spans="1:10" x14ac:dyDescent="0.25">
      <c r="A133" s="3" t="s">
        <v>7</v>
      </c>
      <c r="B133" s="8">
        <v>36</v>
      </c>
      <c r="C133" s="8">
        <v>20.011600000000001</v>
      </c>
      <c r="D133" s="8">
        <v>84.975899999999996</v>
      </c>
      <c r="E133" s="3">
        <v>3</v>
      </c>
      <c r="F133" s="3">
        <v>2145.2800000000002</v>
      </c>
      <c r="G133" s="3">
        <v>6435.84</v>
      </c>
      <c r="H133" s="3">
        <v>3217.92</v>
      </c>
      <c r="I133" s="3">
        <v>1608.96</v>
      </c>
      <c r="J133" s="3">
        <v>11262.72</v>
      </c>
    </row>
    <row r="134" spans="1:10" x14ac:dyDescent="0.25">
      <c r="A134" s="3" t="s">
        <v>7</v>
      </c>
      <c r="B134" s="8">
        <v>32</v>
      </c>
      <c r="C134" s="8">
        <v>19.992000000000001</v>
      </c>
      <c r="D134" s="8">
        <v>84.973600000000005</v>
      </c>
      <c r="E134" s="3">
        <v>3</v>
      </c>
      <c r="F134" s="3">
        <v>2199.67</v>
      </c>
      <c r="G134" s="3">
        <v>6599.01</v>
      </c>
      <c r="H134" s="3">
        <v>3299.51</v>
      </c>
      <c r="I134" s="3">
        <v>1649.75</v>
      </c>
      <c r="J134" s="3">
        <v>11548.27</v>
      </c>
    </row>
    <row r="135" spans="1:10" x14ac:dyDescent="0.25">
      <c r="A135" s="3" t="s">
        <v>7</v>
      </c>
      <c r="B135" s="8">
        <v>86</v>
      </c>
      <c r="C135" s="8">
        <v>20.008199999999999</v>
      </c>
      <c r="D135" s="8">
        <v>85.0154</v>
      </c>
      <c r="E135" s="3">
        <v>3</v>
      </c>
      <c r="F135" s="3">
        <v>2260.79</v>
      </c>
      <c r="G135" s="3">
        <v>6782.37</v>
      </c>
      <c r="H135" s="3">
        <v>3391.19</v>
      </c>
      <c r="I135" s="3">
        <v>1695.59</v>
      </c>
      <c r="J135" s="3">
        <v>11869.15</v>
      </c>
    </row>
    <row r="136" spans="1:10" x14ac:dyDescent="0.25">
      <c r="A136" s="3" t="s">
        <v>7</v>
      </c>
      <c r="B136" s="8">
        <v>269</v>
      </c>
      <c r="C136" s="8">
        <v>20.062100000000001</v>
      </c>
      <c r="D136" s="8">
        <v>85.158299999999997</v>
      </c>
      <c r="E136" s="3">
        <v>4</v>
      </c>
      <c r="F136" s="3">
        <v>1721.74</v>
      </c>
      <c r="G136" s="3">
        <v>6886.96</v>
      </c>
      <c r="H136" s="3">
        <v>3443.48</v>
      </c>
      <c r="I136" s="3">
        <v>1721.74</v>
      </c>
      <c r="J136" s="3">
        <v>12052.18</v>
      </c>
    </row>
    <row r="137" spans="1:10" x14ac:dyDescent="0.25">
      <c r="A137" s="3" t="s">
        <v>7</v>
      </c>
      <c r="B137" s="8">
        <v>27</v>
      </c>
      <c r="C137" s="8">
        <v>20.0063</v>
      </c>
      <c r="D137" s="8">
        <v>84.966499999999996</v>
      </c>
      <c r="E137" s="3">
        <v>2</v>
      </c>
      <c r="F137" s="3">
        <v>3637.72</v>
      </c>
      <c r="G137" s="3">
        <v>7275.44</v>
      </c>
      <c r="H137" s="3">
        <v>3637.72</v>
      </c>
      <c r="I137" s="3">
        <v>1818.86</v>
      </c>
      <c r="J137" s="3">
        <v>12732.02</v>
      </c>
    </row>
    <row r="138" spans="1:10" x14ac:dyDescent="0.25">
      <c r="A138" s="3" t="s">
        <v>7</v>
      </c>
      <c r="B138" s="8">
        <v>16</v>
      </c>
      <c r="C138" s="8">
        <v>20.025300000000001</v>
      </c>
      <c r="D138" s="8">
        <v>84.986800000000002</v>
      </c>
      <c r="E138" s="3">
        <v>2</v>
      </c>
      <c r="F138" s="3">
        <v>3644.58</v>
      </c>
      <c r="G138" s="3">
        <v>7289.16</v>
      </c>
      <c r="H138" s="3">
        <v>3644.58</v>
      </c>
      <c r="I138" s="3">
        <v>1822.29</v>
      </c>
      <c r="J138" s="3">
        <v>12756.03</v>
      </c>
    </row>
    <row r="139" spans="1:10" x14ac:dyDescent="0.25">
      <c r="A139" s="3" t="s">
        <v>7</v>
      </c>
      <c r="B139" s="8">
        <v>155</v>
      </c>
      <c r="C139" s="8">
        <v>20.0123</v>
      </c>
      <c r="D139" s="8">
        <v>85.055899999999994</v>
      </c>
      <c r="E139" s="3">
        <v>4</v>
      </c>
      <c r="F139" s="3">
        <v>1846.38</v>
      </c>
      <c r="G139" s="3">
        <v>7385.52</v>
      </c>
      <c r="H139" s="3">
        <v>3692.76</v>
      </c>
      <c r="I139" s="3">
        <v>1846.38</v>
      </c>
      <c r="J139" s="3">
        <v>12924.66</v>
      </c>
    </row>
    <row r="140" spans="1:10" x14ac:dyDescent="0.25">
      <c r="A140" s="3" t="s">
        <v>7</v>
      </c>
      <c r="B140" s="8">
        <v>64</v>
      </c>
      <c r="C140" s="8">
        <v>20.013500000000001</v>
      </c>
      <c r="D140" s="8">
        <v>85.006799999999998</v>
      </c>
      <c r="E140" s="3">
        <v>4</v>
      </c>
      <c r="F140" s="3">
        <v>1850.03</v>
      </c>
      <c r="G140" s="3">
        <v>7400.12</v>
      </c>
      <c r="H140" s="3">
        <v>3700.06</v>
      </c>
      <c r="I140" s="3">
        <v>1850.03</v>
      </c>
      <c r="J140" s="3">
        <v>12950.21</v>
      </c>
    </row>
    <row r="141" spans="1:10" x14ac:dyDescent="0.25">
      <c r="A141" s="3" t="s">
        <v>7</v>
      </c>
      <c r="B141" s="8">
        <v>21</v>
      </c>
      <c r="C141" s="8">
        <v>20.023499999999999</v>
      </c>
      <c r="D141" s="8">
        <v>84.963399999999993</v>
      </c>
      <c r="E141" s="3">
        <v>4</v>
      </c>
      <c r="F141" s="3">
        <v>1914.1</v>
      </c>
      <c r="G141" s="3">
        <v>7656.4</v>
      </c>
      <c r="H141" s="3">
        <v>3828.2</v>
      </c>
      <c r="I141" s="3">
        <v>1914.1</v>
      </c>
      <c r="J141" s="3">
        <v>13398.7</v>
      </c>
    </row>
    <row r="142" spans="1:10" x14ac:dyDescent="0.25">
      <c r="A142" s="3" t="s">
        <v>7</v>
      </c>
      <c r="B142" s="8">
        <v>11</v>
      </c>
      <c r="C142" s="8">
        <v>20.0168</v>
      </c>
      <c r="D142" s="8">
        <v>84.989800000000002</v>
      </c>
      <c r="E142" s="3">
        <v>3</v>
      </c>
      <c r="F142" s="3">
        <v>2642.2</v>
      </c>
      <c r="G142" s="3">
        <v>7926.6</v>
      </c>
      <c r="H142" s="3">
        <v>3963.3</v>
      </c>
      <c r="I142" s="3">
        <v>1981.65</v>
      </c>
      <c r="J142" s="3">
        <v>13871.55</v>
      </c>
    </row>
    <row r="143" spans="1:10" x14ac:dyDescent="0.25">
      <c r="A143" s="3" t="s">
        <v>7</v>
      </c>
      <c r="B143" s="8">
        <v>266</v>
      </c>
      <c r="C143" s="8">
        <v>20.053699999999999</v>
      </c>
      <c r="D143" s="8">
        <v>85.1417</v>
      </c>
      <c r="E143" s="3">
        <v>2</v>
      </c>
      <c r="F143" s="3">
        <v>4243.91</v>
      </c>
      <c r="G143" s="3">
        <v>8487.82</v>
      </c>
      <c r="H143" s="3">
        <v>4243.91</v>
      </c>
      <c r="I143" s="3">
        <v>2121.96</v>
      </c>
      <c r="J143" s="3">
        <v>14853.69</v>
      </c>
    </row>
    <row r="144" spans="1:10" x14ac:dyDescent="0.25">
      <c r="A144" s="3" t="s">
        <v>7</v>
      </c>
      <c r="B144" s="8">
        <v>170</v>
      </c>
      <c r="C144" s="8">
        <v>20.0259</v>
      </c>
      <c r="D144" s="8">
        <v>85.047300000000007</v>
      </c>
      <c r="E144" s="3">
        <v>4</v>
      </c>
      <c r="F144" s="3">
        <v>2144.63</v>
      </c>
      <c r="G144" s="3">
        <v>8578.52</v>
      </c>
      <c r="H144" s="3">
        <v>4289.26</v>
      </c>
      <c r="I144" s="3">
        <v>2144.63</v>
      </c>
      <c r="J144" s="3">
        <v>15012.41</v>
      </c>
    </row>
    <row r="145" spans="1:10" x14ac:dyDescent="0.25">
      <c r="A145" s="3" t="s">
        <v>7</v>
      </c>
      <c r="B145" s="8">
        <v>278</v>
      </c>
      <c r="C145" s="8">
        <v>20.024100000000001</v>
      </c>
      <c r="D145" s="8">
        <v>85.108699999999999</v>
      </c>
      <c r="E145" s="3">
        <v>3</v>
      </c>
      <c r="F145" s="3">
        <v>2903.95</v>
      </c>
      <c r="G145" s="3">
        <v>8711.85</v>
      </c>
      <c r="H145" s="3">
        <v>4355.92</v>
      </c>
      <c r="I145" s="3">
        <v>2177.96</v>
      </c>
      <c r="J145" s="3">
        <v>15245.73</v>
      </c>
    </row>
    <row r="146" spans="1:10" x14ac:dyDescent="0.25">
      <c r="A146" s="3" t="s">
        <v>7</v>
      </c>
      <c r="B146" s="8">
        <v>70</v>
      </c>
      <c r="C146" s="8">
        <v>20.020800000000001</v>
      </c>
      <c r="D146" s="8">
        <v>85.000100000000003</v>
      </c>
      <c r="E146" s="3">
        <v>3</v>
      </c>
      <c r="F146" s="3">
        <v>2913.8</v>
      </c>
      <c r="G146" s="3">
        <v>8741.4</v>
      </c>
      <c r="H146" s="3">
        <v>4370.7</v>
      </c>
      <c r="I146" s="3">
        <v>2185.35</v>
      </c>
      <c r="J146" s="3">
        <v>15297.45</v>
      </c>
    </row>
    <row r="147" spans="1:10" x14ac:dyDescent="0.25">
      <c r="A147" s="3" t="s">
        <v>7</v>
      </c>
      <c r="B147" s="8">
        <v>186</v>
      </c>
      <c r="C147" s="8">
        <v>20.031400000000001</v>
      </c>
      <c r="D147" s="8">
        <v>85.0899</v>
      </c>
      <c r="E147" s="3">
        <v>2.5</v>
      </c>
      <c r="F147" s="3">
        <v>3524.36</v>
      </c>
      <c r="G147" s="3">
        <v>8810.9</v>
      </c>
      <c r="H147" s="3">
        <v>4405.45</v>
      </c>
      <c r="I147" s="3">
        <v>2202.73</v>
      </c>
      <c r="J147" s="3">
        <v>15419.08</v>
      </c>
    </row>
    <row r="148" spans="1:10" x14ac:dyDescent="0.25">
      <c r="A148" s="3" t="s">
        <v>7</v>
      </c>
      <c r="B148" s="8">
        <v>83</v>
      </c>
      <c r="C148" s="8">
        <v>20.0107</v>
      </c>
      <c r="D148" s="8">
        <v>85.010400000000004</v>
      </c>
      <c r="E148" s="3">
        <v>2</v>
      </c>
      <c r="F148" s="3">
        <v>4445.29</v>
      </c>
      <c r="G148" s="3">
        <v>8890.58</v>
      </c>
      <c r="H148" s="3">
        <v>4445.29</v>
      </c>
      <c r="I148" s="3">
        <v>2222.65</v>
      </c>
      <c r="J148" s="3">
        <v>15558.52</v>
      </c>
    </row>
    <row r="149" spans="1:10" x14ac:dyDescent="0.25">
      <c r="A149" s="3" t="s">
        <v>7</v>
      </c>
      <c r="B149" s="8">
        <v>173</v>
      </c>
      <c r="C149" s="8">
        <v>20.017700000000001</v>
      </c>
      <c r="D149" s="8">
        <v>85.045100000000005</v>
      </c>
      <c r="E149" s="3">
        <v>2.5</v>
      </c>
      <c r="F149" s="3">
        <v>3598.68</v>
      </c>
      <c r="G149" s="3">
        <v>8996.7000000000007</v>
      </c>
      <c r="H149" s="3">
        <v>4498.3500000000004</v>
      </c>
      <c r="I149" s="3">
        <v>2249.17</v>
      </c>
      <c r="J149" s="3">
        <v>15744.22</v>
      </c>
    </row>
    <row r="150" spans="1:10" x14ac:dyDescent="0.25">
      <c r="A150" s="3" t="s">
        <v>7</v>
      </c>
      <c r="B150" s="8">
        <v>250</v>
      </c>
      <c r="C150" s="8">
        <v>20.032599999999999</v>
      </c>
      <c r="D150" s="8">
        <v>85.118300000000005</v>
      </c>
      <c r="E150" s="3">
        <v>4</v>
      </c>
      <c r="F150" s="3">
        <v>2273.3200000000002</v>
      </c>
      <c r="G150" s="3">
        <v>9093.2800000000007</v>
      </c>
      <c r="H150" s="3">
        <v>4546.6400000000003</v>
      </c>
      <c r="I150" s="3">
        <v>2273.3200000000002</v>
      </c>
      <c r="J150" s="3">
        <v>15913.24</v>
      </c>
    </row>
    <row r="151" spans="1:10" x14ac:dyDescent="0.25">
      <c r="A151" s="3" t="s">
        <v>7</v>
      </c>
      <c r="B151" s="8">
        <v>146</v>
      </c>
      <c r="C151" s="8">
        <v>20.043199999999999</v>
      </c>
      <c r="D151" s="8">
        <v>85.034300000000002</v>
      </c>
      <c r="E151" s="3">
        <v>3</v>
      </c>
      <c r="F151" s="3">
        <v>3040.49</v>
      </c>
      <c r="G151" s="3">
        <v>9121.4699999999993</v>
      </c>
      <c r="H151" s="3">
        <v>4560.7299999999996</v>
      </c>
      <c r="I151" s="3">
        <v>2280.37</v>
      </c>
      <c r="J151" s="3">
        <v>15962.57</v>
      </c>
    </row>
    <row r="152" spans="1:10" x14ac:dyDescent="0.25">
      <c r="A152" s="3" t="s">
        <v>7</v>
      </c>
      <c r="B152" s="8">
        <v>103</v>
      </c>
      <c r="C152" s="8">
        <v>20.016300000000001</v>
      </c>
      <c r="D152" s="8">
        <v>85.029499999999999</v>
      </c>
      <c r="E152" s="3">
        <v>4</v>
      </c>
      <c r="F152" s="3">
        <v>2316.37</v>
      </c>
      <c r="G152" s="3">
        <v>9265.48</v>
      </c>
      <c r="H152" s="3">
        <v>4632.74</v>
      </c>
      <c r="I152" s="3">
        <v>2316.37</v>
      </c>
      <c r="J152" s="3">
        <v>16214.59</v>
      </c>
    </row>
    <row r="153" spans="1:10" x14ac:dyDescent="0.25">
      <c r="A153" s="3" t="s">
        <v>7</v>
      </c>
      <c r="B153" s="8">
        <v>203</v>
      </c>
      <c r="C153" s="8">
        <v>20.052099999999999</v>
      </c>
      <c r="D153" s="8">
        <v>85.076700000000002</v>
      </c>
      <c r="E153" s="3">
        <v>2.5</v>
      </c>
      <c r="F153" s="3">
        <v>3751.28</v>
      </c>
      <c r="G153" s="3">
        <v>9378.2000000000007</v>
      </c>
      <c r="H153" s="3">
        <v>4689.1000000000004</v>
      </c>
      <c r="I153" s="3">
        <v>2344.5500000000002</v>
      </c>
      <c r="J153" s="3">
        <v>16411.849999999999</v>
      </c>
    </row>
    <row r="154" spans="1:10" x14ac:dyDescent="0.25">
      <c r="A154" s="3" t="s">
        <v>7</v>
      </c>
      <c r="B154" s="8">
        <v>129</v>
      </c>
      <c r="C154" s="8">
        <v>20.039000000000001</v>
      </c>
      <c r="D154" s="8">
        <v>85.020200000000003</v>
      </c>
      <c r="E154" s="3">
        <v>2.5</v>
      </c>
      <c r="F154" s="3">
        <v>3765.54</v>
      </c>
      <c r="G154" s="3">
        <v>9413.85</v>
      </c>
      <c r="H154" s="3">
        <v>4706.93</v>
      </c>
      <c r="I154" s="3">
        <v>2353.46</v>
      </c>
      <c r="J154" s="3">
        <v>16474.240000000002</v>
      </c>
    </row>
    <row r="155" spans="1:10" x14ac:dyDescent="0.25">
      <c r="A155" s="3" t="s">
        <v>7</v>
      </c>
      <c r="B155" s="8">
        <v>43</v>
      </c>
      <c r="C155" s="8">
        <v>20.014199999999999</v>
      </c>
      <c r="D155" s="8">
        <v>84.985299999999995</v>
      </c>
      <c r="E155" s="3">
        <v>4</v>
      </c>
      <c r="F155" s="3">
        <v>2414.85</v>
      </c>
      <c r="G155" s="3">
        <v>9659.4</v>
      </c>
      <c r="H155" s="3">
        <v>4829.7</v>
      </c>
      <c r="I155" s="3">
        <v>2414.85</v>
      </c>
      <c r="J155" s="3">
        <v>16903.95</v>
      </c>
    </row>
    <row r="156" spans="1:10" x14ac:dyDescent="0.25">
      <c r="A156" s="3" t="s">
        <v>7</v>
      </c>
      <c r="B156" s="8">
        <v>224</v>
      </c>
      <c r="C156" s="8">
        <v>20.0227</v>
      </c>
      <c r="D156" s="8">
        <v>85.088300000000004</v>
      </c>
      <c r="E156" s="3">
        <v>3</v>
      </c>
      <c r="F156" s="3">
        <v>3220.79</v>
      </c>
      <c r="G156" s="3">
        <v>9662.3700000000008</v>
      </c>
      <c r="H156" s="3">
        <v>4831.18</v>
      </c>
      <c r="I156" s="3">
        <v>2415.59</v>
      </c>
      <c r="J156" s="3">
        <v>16909.14</v>
      </c>
    </row>
    <row r="157" spans="1:10" x14ac:dyDescent="0.25">
      <c r="A157" s="3" t="s">
        <v>7</v>
      </c>
      <c r="B157" s="8">
        <v>73</v>
      </c>
      <c r="C157" s="8">
        <v>20.025099999999998</v>
      </c>
      <c r="D157" s="8">
        <v>85.006900000000002</v>
      </c>
      <c r="E157" s="3">
        <v>3</v>
      </c>
      <c r="F157" s="3">
        <v>3228.63</v>
      </c>
      <c r="G157" s="3">
        <v>9685.89</v>
      </c>
      <c r="H157" s="3">
        <v>4842.95</v>
      </c>
      <c r="I157" s="3">
        <v>2421.4699999999998</v>
      </c>
      <c r="J157" s="3">
        <v>16950.310000000001</v>
      </c>
    </row>
    <row r="158" spans="1:10" x14ac:dyDescent="0.25">
      <c r="A158" s="3" t="s">
        <v>7</v>
      </c>
      <c r="B158" s="8">
        <v>139</v>
      </c>
      <c r="C158" s="8">
        <v>20.0456</v>
      </c>
      <c r="D158" s="8">
        <v>85.028999999999996</v>
      </c>
      <c r="E158" s="3">
        <v>3</v>
      </c>
      <c r="F158" s="3">
        <v>3257.27</v>
      </c>
      <c r="G158" s="3">
        <v>9771.81</v>
      </c>
      <c r="H158" s="3">
        <v>4885.91</v>
      </c>
      <c r="I158" s="3">
        <v>2442.9499999999998</v>
      </c>
      <c r="J158" s="3">
        <v>17100.669999999998</v>
      </c>
    </row>
    <row r="159" spans="1:10" x14ac:dyDescent="0.25">
      <c r="A159" s="3" t="s">
        <v>7</v>
      </c>
      <c r="B159" s="8">
        <v>156</v>
      </c>
      <c r="C159" s="8">
        <v>20.011500000000002</v>
      </c>
      <c r="D159" s="8">
        <v>85.055700000000002</v>
      </c>
      <c r="E159" s="3">
        <v>2</v>
      </c>
      <c r="F159" s="3">
        <v>4978.2299999999996</v>
      </c>
      <c r="G159" s="3">
        <v>9956.4599999999991</v>
      </c>
      <c r="H159" s="3">
        <v>4978.2299999999996</v>
      </c>
      <c r="I159" s="3">
        <v>2489.11</v>
      </c>
      <c r="J159" s="3">
        <v>17423.8</v>
      </c>
    </row>
    <row r="160" spans="1:10" x14ac:dyDescent="0.25">
      <c r="A160" s="3" t="s">
        <v>7</v>
      </c>
      <c r="B160" s="8">
        <v>207</v>
      </c>
      <c r="C160" s="8">
        <v>20.0578</v>
      </c>
      <c r="D160" s="8">
        <v>85.084299999999999</v>
      </c>
      <c r="E160" s="3">
        <v>3</v>
      </c>
      <c r="F160" s="3">
        <v>3409.2</v>
      </c>
      <c r="G160" s="3">
        <v>10227.6</v>
      </c>
      <c r="H160" s="3">
        <v>5113.8</v>
      </c>
      <c r="I160" s="3">
        <v>2556.9</v>
      </c>
      <c r="J160" s="3">
        <v>17898.3</v>
      </c>
    </row>
    <row r="161" spans="1:10" x14ac:dyDescent="0.25">
      <c r="A161" s="3" t="s">
        <v>7</v>
      </c>
      <c r="B161" s="8">
        <v>244</v>
      </c>
      <c r="C161" s="8">
        <v>20.022500000000001</v>
      </c>
      <c r="D161" s="8">
        <v>85.102500000000006</v>
      </c>
      <c r="E161" s="3">
        <v>4</v>
      </c>
      <c r="F161" s="3">
        <v>2633.12</v>
      </c>
      <c r="G161" s="3">
        <v>10532.48</v>
      </c>
      <c r="H161" s="3">
        <v>5266.24</v>
      </c>
      <c r="I161" s="3">
        <v>2633.12</v>
      </c>
      <c r="J161" s="3">
        <v>18431.84</v>
      </c>
    </row>
    <row r="162" spans="1:10" x14ac:dyDescent="0.25">
      <c r="A162" s="3" t="s">
        <v>7</v>
      </c>
      <c r="B162" s="8">
        <v>211</v>
      </c>
      <c r="C162" s="8">
        <v>20.0639</v>
      </c>
      <c r="D162" s="8">
        <v>85.091700000000003</v>
      </c>
      <c r="E162" s="3">
        <v>4</v>
      </c>
      <c r="F162" s="3">
        <v>2733.71</v>
      </c>
      <c r="G162" s="3">
        <v>10934.84</v>
      </c>
      <c r="H162" s="3">
        <v>5467.42</v>
      </c>
      <c r="I162" s="3">
        <v>2733.71</v>
      </c>
      <c r="J162" s="3">
        <v>19135.97</v>
      </c>
    </row>
    <row r="163" spans="1:10" x14ac:dyDescent="0.25">
      <c r="A163" s="3" t="s">
        <v>7</v>
      </c>
      <c r="B163" s="8">
        <v>210</v>
      </c>
      <c r="C163" s="8">
        <v>20.0624</v>
      </c>
      <c r="D163" s="8">
        <v>85.090800000000002</v>
      </c>
      <c r="E163" s="3">
        <v>3</v>
      </c>
      <c r="F163" s="3">
        <v>3689.03</v>
      </c>
      <c r="G163" s="3">
        <v>11067.09</v>
      </c>
      <c r="H163" s="3">
        <v>5533.55</v>
      </c>
      <c r="I163" s="3">
        <v>2766.77</v>
      </c>
      <c r="J163" s="3">
        <v>19367.41</v>
      </c>
    </row>
    <row r="164" spans="1:10" x14ac:dyDescent="0.25">
      <c r="A164" s="3" t="s">
        <v>7</v>
      </c>
      <c r="B164" s="8">
        <v>253</v>
      </c>
      <c r="C164" s="8">
        <v>20.028300000000002</v>
      </c>
      <c r="D164" s="8">
        <v>85.120599999999996</v>
      </c>
      <c r="E164" s="3">
        <v>3</v>
      </c>
      <c r="F164" s="3">
        <v>3690.95</v>
      </c>
      <c r="G164" s="3">
        <v>11072.85</v>
      </c>
      <c r="H164" s="3">
        <v>5536.42</v>
      </c>
      <c r="I164" s="3">
        <v>2768.21</v>
      </c>
      <c r="J164" s="3">
        <v>19377.48</v>
      </c>
    </row>
    <row r="165" spans="1:10" x14ac:dyDescent="0.25">
      <c r="A165" s="3" t="s">
        <v>7</v>
      </c>
      <c r="B165" s="8">
        <v>201</v>
      </c>
      <c r="C165" s="8">
        <v>20.041899999999998</v>
      </c>
      <c r="D165" s="8">
        <v>85.081199999999995</v>
      </c>
      <c r="E165" s="3">
        <v>4</v>
      </c>
      <c r="F165" s="3">
        <v>2788.34</v>
      </c>
      <c r="G165" s="3">
        <v>11153.36</v>
      </c>
      <c r="H165" s="3">
        <v>5576.68</v>
      </c>
      <c r="I165" s="3">
        <v>2788.34</v>
      </c>
      <c r="J165" s="3">
        <v>19518.38</v>
      </c>
    </row>
    <row r="166" spans="1:10" x14ac:dyDescent="0.25">
      <c r="A166" s="3" t="s">
        <v>7</v>
      </c>
      <c r="B166" s="8">
        <v>184</v>
      </c>
      <c r="C166" s="8">
        <v>20.034199999999998</v>
      </c>
      <c r="D166" s="8">
        <v>85.076400000000007</v>
      </c>
      <c r="E166" s="3">
        <v>2</v>
      </c>
      <c r="F166" s="3">
        <v>5590.36</v>
      </c>
      <c r="G166" s="3">
        <v>11180.72</v>
      </c>
      <c r="H166" s="3">
        <v>5590.36</v>
      </c>
      <c r="I166" s="3">
        <v>2795.18</v>
      </c>
      <c r="J166" s="3">
        <v>19566.259999999998</v>
      </c>
    </row>
    <row r="167" spans="1:10" x14ac:dyDescent="0.25">
      <c r="A167" s="3" t="s">
        <v>7</v>
      </c>
      <c r="B167" s="8">
        <v>169</v>
      </c>
      <c r="C167" s="8">
        <v>20.025200000000002</v>
      </c>
      <c r="D167" s="8">
        <v>85.047300000000007</v>
      </c>
      <c r="E167" s="3">
        <v>3.5</v>
      </c>
      <c r="F167" s="3">
        <v>3287.36</v>
      </c>
      <c r="G167" s="3">
        <v>11505.76</v>
      </c>
      <c r="H167" s="3">
        <v>5752.88</v>
      </c>
      <c r="I167" s="3">
        <v>2876.44</v>
      </c>
      <c r="J167" s="3">
        <v>20135.080000000002</v>
      </c>
    </row>
    <row r="168" spans="1:10" x14ac:dyDescent="0.25">
      <c r="A168" s="3" t="s">
        <v>7</v>
      </c>
      <c r="B168" s="8">
        <v>130</v>
      </c>
      <c r="C168" s="8">
        <v>20.043299999999999</v>
      </c>
      <c r="D168" s="8">
        <v>85.0214</v>
      </c>
      <c r="E168" s="3">
        <v>2</v>
      </c>
      <c r="F168" s="3">
        <v>5853.1</v>
      </c>
      <c r="G168" s="3">
        <v>11706.2</v>
      </c>
      <c r="H168" s="3">
        <v>5853.1</v>
      </c>
      <c r="I168" s="3">
        <v>2926.55</v>
      </c>
      <c r="J168" s="3">
        <v>20485.849999999999</v>
      </c>
    </row>
    <row r="169" spans="1:10" x14ac:dyDescent="0.25">
      <c r="A169" s="3" t="s">
        <v>7</v>
      </c>
      <c r="B169" s="8">
        <v>75</v>
      </c>
      <c r="C169" s="8">
        <v>20.024100000000001</v>
      </c>
      <c r="D169" s="8">
        <v>85.011399999999995</v>
      </c>
      <c r="E169" s="3">
        <v>3</v>
      </c>
      <c r="F169" s="3">
        <v>3904.01</v>
      </c>
      <c r="G169" s="3">
        <v>11712.03</v>
      </c>
      <c r="H169" s="3">
        <v>5856.02</v>
      </c>
      <c r="I169" s="3">
        <v>2928.01</v>
      </c>
      <c r="J169" s="3">
        <v>20496.060000000001</v>
      </c>
    </row>
    <row r="170" spans="1:10" x14ac:dyDescent="0.25">
      <c r="A170" s="3" t="s">
        <v>7</v>
      </c>
      <c r="B170" s="8">
        <v>248</v>
      </c>
      <c r="C170" s="8">
        <v>20.032299999999999</v>
      </c>
      <c r="D170" s="8">
        <v>85.109200000000001</v>
      </c>
      <c r="E170" s="3">
        <v>3</v>
      </c>
      <c r="F170" s="3">
        <v>3974.62</v>
      </c>
      <c r="G170" s="3">
        <v>11923.86</v>
      </c>
      <c r="H170" s="3">
        <v>5961.93</v>
      </c>
      <c r="I170" s="3">
        <v>2980.97</v>
      </c>
      <c r="J170" s="3">
        <v>20866.759999999998</v>
      </c>
    </row>
    <row r="171" spans="1:10" x14ac:dyDescent="0.25">
      <c r="A171" s="3" t="s">
        <v>7</v>
      </c>
      <c r="B171" s="8">
        <v>58</v>
      </c>
      <c r="C171" s="8">
        <v>20.0108</v>
      </c>
      <c r="D171" s="8">
        <v>84.998199999999997</v>
      </c>
      <c r="E171" s="3">
        <v>4</v>
      </c>
      <c r="F171" s="3">
        <v>3104.21</v>
      </c>
      <c r="G171" s="3">
        <v>12416.84</v>
      </c>
      <c r="H171" s="3">
        <v>6208.42</v>
      </c>
      <c r="I171" s="3">
        <v>3104.21</v>
      </c>
      <c r="J171" s="3">
        <v>21729.47</v>
      </c>
    </row>
    <row r="172" spans="1:10" x14ac:dyDescent="0.25">
      <c r="A172" s="3" t="s">
        <v>7</v>
      </c>
      <c r="B172" s="8">
        <v>220</v>
      </c>
      <c r="C172" s="8">
        <v>20.021999999999998</v>
      </c>
      <c r="D172" s="8">
        <v>85.081100000000006</v>
      </c>
      <c r="E172" s="3">
        <v>3</v>
      </c>
      <c r="F172" s="3">
        <v>4253.1899999999996</v>
      </c>
      <c r="G172" s="3">
        <v>12759.57</v>
      </c>
      <c r="H172" s="3">
        <v>6379.79</v>
      </c>
      <c r="I172" s="3">
        <v>3189.89</v>
      </c>
      <c r="J172" s="3">
        <v>22329.25</v>
      </c>
    </row>
    <row r="173" spans="1:10" x14ac:dyDescent="0.25">
      <c r="A173" s="3" t="s">
        <v>7</v>
      </c>
      <c r="B173" s="8">
        <v>274</v>
      </c>
      <c r="C173" s="8">
        <v>20.0334</v>
      </c>
      <c r="D173" s="8">
        <v>84.97</v>
      </c>
      <c r="E173" s="3">
        <v>3</v>
      </c>
      <c r="F173" s="3">
        <v>4255.91</v>
      </c>
      <c r="G173" s="3">
        <v>12767.73</v>
      </c>
      <c r="H173" s="3">
        <v>6383.87</v>
      </c>
      <c r="I173" s="3">
        <v>3191.93</v>
      </c>
      <c r="J173" s="3">
        <v>22343.53</v>
      </c>
    </row>
    <row r="174" spans="1:10" x14ac:dyDescent="0.25">
      <c r="A174" s="3" t="s">
        <v>7</v>
      </c>
      <c r="B174" s="8">
        <v>223</v>
      </c>
      <c r="C174" s="8">
        <v>20.018699999999999</v>
      </c>
      <c r="D174" s="8">
        <v>85.08</v>
      </c>
      <c r="E174" s="3">
        <v>3</v>
      </c>
      <c r="F174" s="3">
        <v>4290.66</v>
      </c>
      <c r="G174" s="3">
        <v>12871.98</v>
      </c>
      <c r="H174" s="3">
        <v>6435.99</v>
      </c>
      <c r="I174" s="3">
        <v>3218</v>
      </c>
      <c r="J174" s="3">
        <v>22525.97</v>
      </c>
    </row>
    <row r="175" spans="1:10" x14ac:dyDescent="0.25">
      <c r="A175" s="3" t="s">
        <v>7</v>
      </c>
      <c r="B175" s="8">
        <v>67</v>
      </c>
      <c r="C175" s="8">
        <v>20.013999999999999</v>
      </c>
      <c r="D175" s="8">
        <v>84.998500000000007</v>
      </c>
      <c r="E175" s="3">
        <v>4</v>
      </c>
      <c r="F175" s="3">
        <v>3240.89</v>
      </c>
      <c r="G175" s="3">
        <v>12963.56</v>
      </c>
      <c r="H175" s="3">
        <v>6481.78</v>
      </c>
      <c r="I175" s="3">
        <v>3240.89</v>
      </c>
      <c r="J175" s="3">
        <v>22686.23</v>
      </c>
    </row>
    <row r="176" spans="1:10" x14ac:dyDescent="0.25">
      <c r="A176" s="3" t="s">
        <v>7</v>
      </c>
      <c r="B176" s="8">
        <v>276</v>
      </c>
      <c r="C176" s="8">
        <v>20.059000000000001</v>
      </c>
      <c r="D176" s="8">
        <v>85.026399999999995</v>
      </c>
      <c r="E176" s="3">
        <v>3</v>
      </c>
      <c r="F176" s="3">
        <v>4324.63</v>
      </c>
      <c r="G176" s="3">
        <v>12973.89</v>
      </c>
      <c r="H176" s="3">
        <v>6486.95</v>
      </c>
      <c r="I176" s="3">
        <v>3243.47</v>
      </c>
      <c r="J176" s="3">
        <v>22704.31</v>
      </c>
    </row>
    <row r="177" spans="1:10" x14ac:dyDescent="0.25">
      <c r="A177" s="3" t="s">
        <v>7</v>
      </c>
      <c r="B177" s="8">
        <v>72</v>
      </c>
      <c r="C177" s="8">
        <v>20.024899999999999</v>
      </c>
      <c r="D177" s="8">
        <v>85.006200000000007</v>
      </c>
      <c r="E177" s="3">
        <v>3</v>
      </c>
      <c r="F177" s="3">
        <v>4326.5200000000004</v>
      </c>
      <c r="G177" s="3">
        <v>12979.56</v>
      </c>
      <c r="H177" s="3">
        <v>6489.78</v>
      </c>
      <c r="I177" s="3">
        <v>3244.89</v>
      </c>
      <c r="J177" s="3">
        <v>22714.23</v>
      </c>
    </row>
    <row r="178" spans="1:10" x14ac:dyDescent="0.25">
      <c r="A178" s="3" t="s">
        <v>7</v>
      </c>
      <c r="B178" s="8">
        <v>60</v>
      </c>
      <c r="C178" s="8">
        <v>20.007400000000001</v>
      </c>
      <c r="D178" s="8">
        <v>85.006600000000006</v>
      </c>
      <c r="E178" s="3">
        <v>4</v>
      </c>
      <c r="F178" s="3">
        <v>3260.88</v>
      </c>
      <c r="G178" s="3">
        <v>13043.52</v>
      </c>
      <c r="H178" s="3">
        <v>6521.76</v>
      </c>
      <c r="I178" s="3">
        <v>3260.88</v>
      </c>
      <c r="J178" s="3">
        <v>22826.16</v>
      </c>
    </row>
    <row r="179" spans="1:10" x14ac:dyDescent="0.25">
      <c r="A179" s="3" t="s">
        <v>7</v>
      </c>
      <c r="B179" s="8">
        <v>268</v>
      </c>
      <c r="C179" s="8">
        <v>20.0593</v>
      </c>
      <c r="D179" s="8">
        <v>85.154399999999995</v>
      </c>
      <c r="E179" s="3">
        <v>4</v>
      </c>
      <c r="F179" s="3">
        <v>3268.31</v>
      </c>
      <c r="G179" s="3">
        <v>13073.24</v>
      </c>
      <c r="H179" s="3">
        <v>6536.62</v>
      </c>
      <c r="I179" s="3">
        <v>3268.31</v>
      </c>
      <c r="J179" s="3">
        <v>22878.17</v>
      </c>
    </row>
    <row r="180" spans="1:10" x14ac:dyDescent="0.25">
      <c r="A180" s="3" t="s">
        <v>7</v>
      </c>
      <c r="B180" s="8">
        <v>50</v>
      </c>
      <c r="C180" s="8">
        <v>20.033100000000001</v>
      </c>
      <c r="D180" s="8">
        <v>85.001199999999997</v>
      </c>
      <c r="E180" s="3">
        <v>4</v>
      </c>
      <c r="F180" s="3">
        <v>3287.38</v>
      </c>
      <c r="G180" s="3">
        <v>13149.52</v>
      </c>
      <c r="H180" s="3">
        <v>6574.76</v>
      </c>
      <c r="I180" s="3">
        <v>3287.38</v>
      </c>
      <c r="J180" s="3">
        <v>23011.66</v>
      </c>
    </row>
    <row r="181" spans="1:10" x14ac:dyDescent="0.25">
      <c r="A181" s="3" t="s">
        <v>7</v>
      </c>
      <c r="B181" s="8">
        <v>149</v>
      </c>
      <c r="C181" s="8">
        <v>20.022300000000001</v>
      </c>
      <c r="D181" s="8">
        <v>85.030900000000003</v>
      </c>
      <c r="E181" s="3">
        <v>2.5</v>
      </c>
      <c r="F181" s="3">
        <v>5296.08</v>
      </c>
      <c r="G181" s="3">
        <v>13240.2</v>
      </c>
      <c r="H181" s="3">
        <v>6620.1</v>
      </c>
      <c r="I181" s="3">
        <v>3310.05</v>
      </c>
      <c r="J181" s="3">
        <v>23170.35</v>
      </c>
    </row>
    <row r="182" spans="1:10" x14ac:dyDescent="0.25">
      <c r="A182" s="3" t="s">
        <v>7</v>
      </c>
      <c r="B182" s="8">
        <v>165</v>
      </c>
      <c r="C182" s="8">
        <v>20.0197</v>
      </c>
      <c r="D182" s="8">
        <v>85.056100000000001</v>
      </c>
      <c r="E182" s="3">
        <v>3</v>
      </c>
      <c r="F182" s="3">
        <v>4443.33</v>
      </c>
      <c r="G182" s="3">
        <v>13329.99</v>
      </c>
      <c r="H182" s="3">
        <v>6665</v>
      </c>
      <c r="I182" s="3">
        <v>3332.5</v>
      </c>
      <c r="J182" s="3">
        <v>23327.49</v>
      </c>
    </row>
    <row r="183" spans="1:10" x14ac:dyDescent="0.25">
      <c r="A183" s="3" t="s">
        <v>7</v>
      </c>
      <c r="B183" s="8">
        <v>153</v>
      </c>
      <c r="C183" s="8">
        <v>20.008900000000001</v>
      </c>
      <c r="D183" s="8">
        <v>85.051699999999997</v>
      </c>
      <c r="E183" s="3">
        <v>4</v>
      </c>
      <c r="F183" s="3">
        <v>3361.19</v>
      </c>
      <c r="G183" s="3">
        <v>13444.76</v>
      </c>
      <c r="H183" s="3">
        <v>6722.38</v>
      </c>
      <c r="I183" s="3">
        <v>3361.19</v>
      </c>
      <c r="J183" s="3">
        <v>23528.33</v>
      </c>
    </row>
    <row r="184" spans="1:10" x14ac:dyDescent="0.25">
      <c r="A184" s="3" t="s">
        <v>7</v>
      </c>
      <c r="B184" s="8">
        <v>257</v>
      </c>
      <c r="C184" s="8">
        <v>20.036799999999999</v>
      </c>
      <c r="D184" s="8">
        <v>85.118799999999993</v>
      </c>
      <c r="E184" s="3">
        <v>4</v>
      </c>
      <c r="F184" s="3">
        <v>3390.84</v>
      </c>
      <c r="G184" s="3">
        <v>13563.36</v>
      </c>
      <c r="H184" s="3">
        <v>6781.68</v>
      </c>
      <c r="I184" s="3">
        <v>3390.84</v>
      </c>
      <c r="J184" s="3">
        <v>23735.88</v>
      </c>
    </row>
    <row r="185" spans="1:10" x14ac:dyDescent="0.25">
      <c r="A185" s="3" t="s">
        <v>7</v>
      </c>
      <c r="B185" s="8">
        <v>143</v>
      </c>
      <c r="C185" s="8">
        <v>20.057400000000001</v>
      </c>
      <c r="D185" s="8">
        <v>85.035399999999996</v>
      </c>
      <c r="E185" s="3">
        <v>3</v>
      </c>
      <c r="F185" s="3">
        <v>4566.41</v>
      </c>
      <c r="G185" s="3">
        <v>13699.23</v>
      </c>
      <c r="H185" s="3">
        <v>6849.62</v>
      </c>
      <c r="I185" s="3">
        <v>3424.81</v>
      </c>
      <c r="J185" s="3">
        <v>23973.66</v>
      </c>
    </row>
    <row r="186" spans="1:10" x14ac:dyDescent="0.25">
      <c r="A186" s="3" t="s">
        <v>7</v>
      </c>
      <c r="B186" s="8">
        <v>247</v>
      </c>
      <c r="C186" s="8">
        <v>20.032299999999999</v>
      </c>
      <c r="D186" s="8">
        <v>85.104799999999997</v>
      </c>
      <c r="E186" s="3">
        <v>3</v>
      </c>
      <c r="F186" s="3">
        <v>4675.3599999999997</v>
      </c>
      <c r="G186" s="3">
        <v>14026.08</v>
      </c>
      <c r="H186" s="3">
        <v>7013.04</v>
      </c>
      <c r="I186" s="3">
        <v>3506.52</v>
      </c>
      <c r="J186" s="3">
        <v>24545.64</v>
      </c>
    </row>
    <row r="187" spans="1:10" x14ac:dyDescent="0.25">
      <c r="A187" s="3" t="s">
        <v>7</v>
      </c>
      <c r="B187" s="8">
        <v>191</v>
      </c>
      <c r="C187" s="8">
        <v>20.0444</v>
      </c>
      <c r="D187" s="8">
        <v>85.105199999999996</v>
      </c>
      <c r="E187" s="3">
        <v>3</v>
      </c>
      <c r="F187" s="3">
        <v>4701.7299999999996</v>
      </c>
      <c r="G187" s="3">
        <v>14105.19</v>
      </c>
      <c r="H187" s="3">
        <v>7052.59</v>
      </c>
      <c r="I187" s="3">
        <v>3526.3</v>
      </c>
      <c r="J187" s="3">
        <v>24684.080000000002</v>
      </c>
    </row>
    <row r="188" spans="1:10" x14ac:dyDescent="0.25">
      <c r="A188" s="3" t="s">
        <v>7</v>
      </c>
      <c r="B188" s="8">
        <v>10</v>
      </c>
      <c r="C188" s="8">
        <v>20.034099999999999</v>
      </c>
      <c r="D188" s="8">
        <v>84.966700000000003</v>
      </c>
      <c r="E188" s="3">
        <v>3</v>
      </c>
      <c r="F188" s="3">
        <v>4729.47</v>
      </c>
      <c r="G188" s="3">
        <v>14188.41</v>
      </c>
      <c r="H188" s="3">
        <v>7094.21</v>
      </c>
      <c r="I188" s="3">
        <v>3547.1</v>
      </c>
      <c r="J188" s="3">
        <v>24829.72</v>
      </c>
    </row>
    <row r="189" spans="1:10" x14ac:dyDescent="0.25">
      <c r="A189" s="3" t="s">
        <v>7</v>
      </c>
      <c r="B189" s="8">
        <v>113</v>
      </c>
      <c r="C189" s="8">
        <v>20.027799999999999</v>
      </c>
      <c r="D189" s="8">
        <v>85.0227</v>
      </c>
      <c r="E189" s="3">
        <v>4</v>
      </c>
      <c r="F189" s="3">
        <v>3601.39</v>
      </c>
      <c r="G189" s="3">
        <v>14405.56</v>
      </c>
      <c r="H189" s="3">
        <v>7202.78</v>
      </c>
      <c r="I189" s="3">
        <v>3601.39</v>
      </c>
      <c r="J189" s="3">
        <v>25209.73</v>
      </c>
    </row>
    <row r="190" spans="1:10" x14ac:dyDescent="0.25">
      <c r="A190" s="3" t="s">
        <v>7</v>
      </c>
      <c r="B190" s="8">
        <v>131</v>
      </c>
      <c r="C190" s="8">
        <v>20.0456</v>
      </c>
      <c r="D190" s="8">
        <v>85.0227</v>
      </c>
      <c r="E190" s="3">
        <v>3</v>
      </c>
      <c r="F190" s="3">
        <v>4815.83</v>
      </c>
      <c r="G190" s="3">
        <v>14447.49</v>
      </c>
      <c r="H190" s="3">
        <v>7223.75</v>
      </c>
      <c r="I190" s="3">
        <v>3611.87</v>
      </c>
      <c r="J190" s="3">
        <v>25283.11</v>
      </c>
    </row>
    <row r="191" spans="1:10" x14ac:dyDescent="0.25">
      <c r="A191" s="3" t="s">
        <v>7</v>
      </c>
      <c r="B191" s="8">
        <v>221</v>
      </c>
      <c r="C191" s="8">
        <v>20.020700000000001</v>
      </c>
      <c r="D191" s="8">
        <v>85.081299999999999</v>
      </c>
      <c r="E191" s="3">
        <v>3</v>
      </c>
      <c r="F191" s="3">
        <v>4829.04</v>
      </c>
      <c r="G191" s="3">
        <v>14487.12</v>
      </c>
      <c r="H191" s="3">
        <v>7243.56</v>
      </c>
      <c r="I191" s="3">
        <v>3621.78</v>
      </c>
      <c r="J191" s="3">
        <v>25352.46</v>
      </c>
    </row>
    <row r="192" spans="1:10" x14ac:dyDescent="0.25">
      <c r="A192" s="3" t="s">
        <v>7</v>
      </c>
      <c r="B192" s="8">
        <v>127</v>
      </c>
      <c r="C192" s="8">
        <v>20.039100000000001</v>
      </c>
      <c r="D192" s="8">
        <v>85.037800000000004</v>
      </c>
      <c r="E192" s="3">
        <v>4</v>
      </c>
      <c r="F192" s="3">
        <v>3643.06</v>
      </c>
      <c r="G192" s="3">
        <v>14572.24</v>
      </c>
      <c r="H192" s="3">
        <v>7286.12</v>
      </c>
      <c r="I192" s="3">
        <v>3643.06</v>
      </c>
      <c r="J192" s="3">
        <v>25501.42</v>
      </c>
    </row>
    <row r="193" spans="1:10" x14ac:dyDescent="0.25">
      <c r="A193" s="3" t="s">
        <v>7</v>
      </c>
      <c r="B193" s="8">
        <v>137</v>
      </c>
      <c r="C193" s="8">
        <v>20.052099999999999</v>
      </c>
      <c r="D193" s="8">
        <v>85.023300000000006</v>
      </c>
      <c r="E193" s="3">
        <v>4</v>
      </c>
      <c r="F193" s="3">
        <v>3732.57</v>
      </c>
      <c r="G193" s="3">
        <v>14930.28</v>
      </c>
      <c r="H193" s="3">
        <v>7465.14</v>
      </c>
      <c r="I193" s="3">
        <v>3732.57</v>
      </c>
      <c r="J193" s="3">
        <v>26127.99</v>
      </c>
    </row>
    <row r="194" spans="1:10" x14ac:dyDescent="0.25">
      <c r="A194" s="3" t="s">
        <v>7</v>
      </c>
      <c r="B194" s="8">
        <v>84</v>
      </c>
      <c r="C194" s="8">
        <v>20.008299999999998</v>
      </c>
      <c r="D194" s="8">
        <v>85.011700000000005</v>
      </c>
      <c r="E194" s="3">
        <v>4</v>
      </c>
      <c r="F194" s="3">
        <v>3804.96</v>
      </c>
      <c r="G194" s="3">
        <v>15219.84</v>
      </c>
      <c r="H194" s="3">
        <v>7609.92</v>
      </c>
      <c r="I194" s="3">
        <v>3804.96</v>
      </c>
      <c r="J194" s="3">
        <v>26634.720000000001</v>
      </c>
    </row>
    <row r="195" spans="1:10" x14ac:dyDescent="0.25">
      <c r="A195" s="3" t="s">
        <v>7</v>
      </c>
      <c r="B195" s="8">
        <v>47</v>
      </c>
      <c r="C195" s="8">
        <v>20.029800000000002</v>
      </c>
      <c r="D195" s="8">
        <v>84.991799999999998</v>
      </c>
      <c r="E195" s="3">
        <v>4</v>
      </c>
      <c r="F195" s="3">
        <v>3819.1</v>
      </c>
      <c r="G195" s="3">
        <v>15276.4</v>
      </c>
      <c r="H195" s="3">
        <v>7638.2</v>
      </c>
      <c r="I195" s="3">
        <v>3819.1</v>
      </c>
      <c r="J195" s="3">
        <v>26733.7</v>
      </c>
    </row>
    <row r="196" spans="1:10" x14ac:dyDescent="0.25">
      <c r="A196" s="3" t="s">
        <v>7</v>
      </c>
      <c r="B196" s="8">
        <v>166</v>
      </c>
      <c r="C196" s="8">
        <v>20.020199999999999</v>
      </c>
      <c r="D196" s="8">
        <v>85.0535</v>
      </c>
      <c r="E196" s="3">
        <v>3</v>
      </c>
      <c r="F196" s="3">
        <v>5129.92</v>
      </c>
      <c r="G196" s="3">
        <v>15389.76</v>
      </c>
      <c r="H196" s="3">
        <v>7694.88</v>
      </c>
      <c r="I196" s="3">
        <v>3847.44</v>
      </c>
      <c r="J196" s="3">
        <v>26932.080000000002</v>
      </c>
    </row>
    <row r="197" spans="1:10" x14ac:dyDescent="0.25">
      <c r="A197" s="3" t="s">
        <v>7</v>
      </c>
      <c r="B197" s="8">
        <v>222</v>
      </c>
      <c r="C197" s="8">
        <v>20.0198</v>
      </c>
      <c r="D197" s="8">
        <v>85.080500000000001</v>
      </c>
      <c r="E197" s="3">
        <v>3</v>
      </c>
      <c r="F197" s="3">
        <v>5181.96</v>
      </c>
      <c r="G197" s="3">
        <v>15545.88</v>
      </c>
      <c r="H197" s="3">
        <v>7772.94</v>
      </c>
      <c r="I197" s="3">
        <v>3886.47</v>
      </c>
      <c r="J197" s="3">
        <v>27205.29</v>
      </c>
    </row>
    <row r="198" spans="1:10" x14ac:dyDescent="0.25">
      <c r="A198" s="3" t="s">
        <v>7</v>
      </c>
      <c r="B198" s="8">
        <v>114</v>
      </c>
      <c r="C198" s="8">
        <v>20.028500000000001</v>
      </c>
      <c r="D198" s="8">
        <v>85.032799999999995</v>
      </c>
      <c r="E198" s="3">
        <v>3</v>
      </c>
      <c r="F198" s="3">
        <v>5195.3999999999996</v>
      </c>
      <c r="G198" s="3">
        <v>15586.2</v>
      </c>
      <c r="H198" s="3">
        <v>7793.1</v>
      </c>
      <c r="I198" s="3">
        <v>3896.55</v>
      </c>
      <c r="J198" s="3">
        <v>27275.85</v>
      </c>
    </row>
    <row r="199" spans="1:10" x14ac:dyDescent="0.25">
      <c r="A199" s="3" t="s">
        <v>7</v>
      </c>
      <c r="B199" s="8">
        <v>65</v>
      </c>
      <c r="C199" s="8">
        <v>20.014099999999999</v>
      </c>
      <c r="D199" s="8">
        <v>85.007900000000006</v>
      </c>
      <c r="E199" s="3">
        <v>4</v>
      </c>
      <c r="F199" s="3">
        <v>3917.2</v>
      </c>
      <c r="G199" s="3">
        <v>15668.8</v>
      </c>
      <c r="H199" s="3">
        <v>7834.4</v>
      </c>
      <c r="I199" s="3">
        <v>3917.2</v>
      </c>
      <c r="J199" s="3">
        <v>27420.400000000001</v>
      </c>
    </row>
    <row r="200" spans="1:10" x14ac:dyDescent="0.25">
      <c r="A200" s="3" t="s">
        <v>7</v>
      </c>
      <c r="B200" s="8">
        <v>265</v>
      </c>
      <c r="C200" s="8">
        <v>20.049199999999999</v>
      </c>
      <c r="D200" s="8">
        <v>85.141300000000001</v>
      </c>
      <c r="E200" s="3">
        <v>2</v>
      </c>
      <c r="F200" s="3">
        <v>7909.18</v>
      </c>
      <c r="G200" s="3">
        <v>15818.36</v>
      </c>
      <c r="H200" s="3">
        <v>7909.18</v>
      </c>
      <c r="I200" s="3">
        <v>3954.59</v>
      </c>
      <c r="J200" s="3">
        <v>27682.13</v>
      </c>
    </row>
    <row r="201" spans="1:10" x14ac:dyDescent="0.25">
      <c r="A201" s="3" t="s">
        <v>7</v>
      </c>
      <c r="B201" s="8">
        <v>128</v>
      </c>
      <c r="C201" s="8">
        <v>20.037500000000001</v>
      </c>
      <c r="D201" s="8">
        <v>85.022599999999997</v>
      </c>
      <c r="E201" s="3">
        <v>2.5</v>
      </c>
      <c r="F201" s="3">
        <v>6360.99</v>
      </c>
      <c r="G201" s="3">
        <v>15902.47</v>
      </c>
      <c r="H201" s="3">
        <v>7951.24</v>
      </c>
      <c r="I201" s="3">
        <v>3975.62</v>
      </c>
      <c r="J201" s="3">
        <v>27829.33</v>
      </c>
    </row>
    <row r="202" spans="1:10" x14ac:dyDescent="0.25">
      <c r="A202" s="3" t="s">
        <v>7</v>
      </c>
      <c r="B202" s="8">
        <v>38</v>
      </c>
      <c r="C202" s="8">
        <v>20.019300000000001</v>
      </c>
      <c r="D202" s="8">
        <v>84.973200000000006</v>
      </c>
      <c r="E202" s="3">
        <v>3</v>
      </c>
      <c r="F202" s="3">
        <v>5322.6</v>
      </c>
      <c r="G202" s="3">
        <v>15967.8</v>
      </c>
      <c r="H202" s="3">
        <v>7983.9</v>
      </c>
      <c r="I202" s="3">
        <v>3991.95</v>
      </c>
      <c r="J202" s="3">
        <v>27943.65</v>
      </c>
    </row>
    <row r="203" spans="1:10" x14ac:dyDescent="0.25">
      <c r="A203" s="3" t="s">
        <v>7</v>
      </c>
      <c r="B203" s="8">
        <v>147</v>
      </c>
      <c r="C203" s="8">
        <v>20.041899999999998</v>
      </c>
      <c r="D203" s="8">
        <v>85.027000000000001</v>
      </c>
      <c r="E203" s="3">
        <v>3</v>
      </c>
      <c r="F203" s="3">
        <v>5695.96</v>
      </c>
      <c r="G203" s="3">
        <v>17087.88</v>
      </c>
      <c r="H203" s="3">
        <v>8543.94</v>
      </c>
      <c r="I203" s="3">
        <v>4271.97</v>
      </c>
      <c r="J203" s="3">
        <v>29903.79</v>
      </c>
    </row>
    <row r="204" spans="1:10" x14ac:dyDescent="0.25">
      <c r="A204" s="3" t="s">
        <v>7</v>
      </c>
      <c r="B204" s="8">
        <v>48</v>
      </c>
      <c r="C204" s="8">
        <v>20.0319</v>
      </c>
      <c r="D204" s="8">
        <v>84.992000000000004</v>
      </c>
      <c r="E204" s="3">
        <v>4</v>
      </c>
      <c r="F204" s="3">
        <v>4273.8500000000004</v>
      </c>
      <c r="G204" s="3">
        <v>17095.400000000001</v>
      </c>
      <c r="H204" s="3">
        <v>8547.7000000000007</v>
      </c>
      <c r="I204" s="3">
        <v>4273.8500000000004</v>
      </c>
      <c r="J204" s="3">
        <v>29916.95</v>
      </c>
    </row>
    <row r="205" spans="1:10" x14ac:dyDescent="0.25">
      <c r="A205" s="3" t="s">
        <v>7</v>
      </c>
      <c r="B205" s="8">
        <v>74</v>
      </c>
      <c r="C205" s="8">
        <v>20.024999999999999</v>
      </c>
      <c r="D205" s="8">
        <v>85.008899999999997</v>
      </c>
      <c r="E205" s="3">
        <v>3</v>
      </c>
      <c r="F205" s="3">
        <v>5752.17</v>
      </c>
      <c r="G205" s="3">
        <v>17256.509999999998</v>
      </c>
      <c r="H205" s="3">
        <v>8628.26</v>
      </c>
      <c r="I205" s="3">
        <v>4314.13</v>
      </c>
      <c r="J205" s="3">
        <v>30198.9</v>
      </c>
    </row>
    <row r="206" spans="1:10" x14ac:dyDescent="0.25">
      <c r="A206" s="3" t="s">
        <v>7</v>
      </c>
      <c r="B206" s="8">
        <v>77</v>
      </c>
      <c r="C206" s="8">
        <v>20.0214</v>
      </c>
      <c r="D206" s="8">
        <v>85.012900000000002</v>
      </c>
      <c r="E206" s="3">
        <v>3</v>
      </c>
      <c r="F206" s="3">
        <v>5804.55</v>
      </c>
      <c r="G206" s="3">
        <v>17413.650000000001</v>
      </c>
      <c r="H206" s="3">
        <v>8706.83</v>
      </c>
      <c r="I206" s="3">
        <v>4353.41</v>
      </c>
      <c r="J206" s="3">
        <v>30473.89</v>
      </c>
    </row>
    <row r="207" spans="1:10" x14ac:dyDescent="0.25">
      <c r="A207" s="3" t="s">
        <v>7</v>
      </c>
      <c r="B207" s="8">
        <v>202</v>
      </c>
      <c r="C207" s="8">
        <v>20.040099999999999</v>
      </c>
      <c r="D207" s="8">
        <v>85.084400000000002</v>
      </c>
      <c r="E207" s="3">
        <v>4</v>
      </c>
      <c r="F207" s="3">
        <v>4364.3599999999997</v>
      </c>
      <c r="G207" s="3">
        <v>17457.439999999999</v>
      </c>
      <c r="H207" s="3">
        <v>8728.7199999999993</v>
      </c>
      <c r="I207" s="3">
        <v>4364.3599999999997</v>
      </c>
      <c r="J207" s="3">
        <v>30550.52</v>
      </c>
    </row>
    <row r="208" spans="1:10" x14ac:dyDescent="0.25">
      <c r="A208" s="3" t="s">
        <v>7</v>
      </c>
      <c r="B208" s="8">
        <v>249</v>
      </c>
      <c r="C208" s="8">
        <v>20.032499999999999</v>
      </c>
      <c r="D208" s="8">
        <v>85.115200000000002</v>
      </c>
      <c r="E208" s="3">
        <v>3.5</v>
      </c>
      <c r="F208" s="3">
        <v>5042.4799999999996</v>
      </c>
      <c r="G208" s="3">
        <v>17648.68</v>
      </c>
      <c r="H208" s="3">
        <v>8824.34</v>
      </c>
      <c r="I208" s="3">
        <v>4412.17</v>
      </c>
      <c r="J208" s="3">
        <v>30885.19</v>
      </c>
    </row>
    <row r="209" spans="1:10" x14ac:dyDescent="0.25">
      <c r="A209" s="3" t="s">
        <v>7</v>
      </c>
      <c r="B209" s="8">
        <v>187</v>
      </c>
      <c r="C209" s="8">
        <v>20.037800000000001</v>
      </c>
      <c r="D209" s="8">
        <v>85.0959</v>
      </c>
      <c r="E209" s="3">
        <v>3</v>
      </c>
      <c r="F209" s="3">
        <v>5897.8</v>
      </c>
      <c r="G209" s="3">
        <v>17693.400000000001</v>
      </c>
      <c r="H209" s="3">
        <v>8846.7000000000007</v>
      </c>
      <c r="I209" s="3">
        <v>4423.3500000000004</v>
      </c>
      <c r="J209" s="3">
        <v>30963.45</v>
      </c>
    </row>
    <row r="210" spans="1:10" x14ac:dyDescent="0.25">
      <c r="A210" s="3" t="s">
        <v>7</v>
      </c>
      <c r="B210" s="8">
        <v>90</v>
      </c>
      <c r="C210" s="8">
        <v>20.010999999999999</v>
      </c>
      <c r="D210" s="8">
        <v>85.030199999999994</v>
      </c>
      <c r="E210" s="3">
        <v>3</v>
      </c>
      <c r="F210" s="3">
        <v>5907.99</v>
      </c>
      <c r="G210" s="3">
        <v>17723.97</v>
      </c>
      <c r="H210" s="3">
        <v>8861.99</v>
      </c>
      <c r="I210" s="3">
        <v>4430.99</v>
      </c>
      <c r="J210" s="3">
        <v>31016.95</v>
      </c>
    </row>
    <row r="211" spans="1:10" x14ac:dyDescent="0.25">
      <c r="A211" s="3" t="s">
        <v>7</v>
      </c>
      <c r="B211" s="8">
        <v>264</v>
      </c>
      <c r="C211" s="8">
        <v>20.0474</v>
      </c>
      <c r="D211" s="8">
        <v>85.131299999999996</v>
      </c>
      <c r="E211" s="3">
        <v>2</v>
      </c>
      <c r="F211" s="3">
        <v>9033.7000000000007</v>
      </c>
      <c r="G211" s="3">
        <v>18067.400000000001</v>
      </c>
      <c r="H211" s="3">
        <v>9033.7000000000007</v>
      </c>
      <c r="I211" s="3">
        <v>4516.8500000000004</v>
      </c>
      <c r="J211" s="3">
        <v>31617.95</v>
      </c>
    </row>
    <row r="212" spans="1:10" x14ac:dyDescent="0.25">
      <c r="A212" s="3" t="s">
        <v>7</v>
      </c>
      <c r="B212" s="8">
        <v>236</v>
      </c>
      <c r="C212" s="8">
        <v>20.038399999999999</v>
      </c>
      <c r="D212" s="8">
        <v>85.11</v>
      </c>
      <c r="E212" s="3">
        <v>3</v>
      </c>
      <c r="F212" s="3">
        <v>6099.25</v>
      </c>
      <c r="G212" s="3">
        <v>18297.75</v>
      </c>
      <c r="H212" s="3">
        <v>9148.8799999999992</v>
      </c>
      <c r="I212" s="3">
        <v>4574.4399999999996</v>
      </c>
      <c r="J212" s="3">
        <v>32021.07</v>
      </c>
    </row>
    <row r="213" spans="1:10" x14ac:dyDescent="0.25">
      <c r="A213" s="3" t="s">
        <v>7</v>
      </c>
      <c r="B213" s="8">
        <v>46</v>
      </c>
      <c r="C213" s="8">
        <v>20.027000000000001</v>
      </c>
      <c r="D213" s="8">
        <v>84.984499999999997</v>
      </c>
      <c r="E213" s="3">
        <v>3</v>
      </c>
      <c r="F213" s="3">
        <v>6139.81</v>
      </c>
      <c r="G213" s="3">
        <v>18419.43</v>
      </c>
      <c r="H213" s="3">
        <v>9209.7199999999993</v>
      </c>
      <c r="I213" s="3">
        <v>4604.8599999999997</v>
      </c>
      <c r="J213" s="3">
        <v>32234.01</v>
      </c>
    </row>
    <row r="214" spans="1:10" x14ac:dyDescent="0.25">
      <c r="A214" s="3" t="s">
        <v>7</v>
      </c>
      <c r="B214" s="8">
        <v>26</v>
      </c>
      <c r="C214" s="8">
        <v>20.006900000000002</v>
      </c>
      <c r="D214" s="8">
        <v>84.965900000000005</v>
      </c>
      <c r="E214" s="3">
        <v>3</v>
      </c>
      <c r="F214" s="3">
        <v>6228.45</v>
      </c>
      <c r="G214" s="3">
        <v>18685.349999999999</v>
      </c>
      <c r="H214" s="3">
        <v>9342.67</v>
      </c>
      <c r="I214" s="3">
        <v>4671.34</v>
      </c>
      <c r="J214" s="3">
        <v>32699.360000000001</v>
      </c>
    </row>
    <row r="215" spans="1:10" x14ac:dyDescent="0.25">
      <c r="A215" s="3" t="s">
        <v>7</v>
      </c>
      <c r="B215" s="8">
        <v>87</v>
      </c>
      <c r="C215" s="8">
        <v>20.0047</v>
      </c>
      <c r="D215" s="8">
        <v>85.030900000000003</v>
      </c>
      <c r="E215" s="3">
        <v>3</v>
      </c>
      <c r="F215" s="3">
        <v>6272.84</v>
      </c>
      <c r="G215" s="3">
        <v>18818.52</v>
      </c>
      <c r="H215" s="3">
        <v>9409.26</v>
      </c>
      <c r="I215" s="3">
        <v>4704.63</v>
      </c>
      <c r="J215" s="3">
        <v>32932.410000000003</v>
      </c>
    </row>
    <row r="216" spans="1:10" x14ac:dyDescent="0.25">
      <c r="A216" s="3" t="s">
        <v>7</v>
      </c>
      <c r="B216" s="8">
        <v>89</v>
      </c>
      <c r="C216" s="8">
        <v>20.006399999999999</v>
      </c>
      <c r="D216" s="8">
        <v>85.034999999999997</v>
      </c>
      <c r="E216" s="3">
        <v>3</v>
      </c>
      <c r="F216" s="3">
        <v>6464.03</v>
      </c>
      <c r="G216" s="3">
        <v>19392.09</v>
      </c>
      <c r="H216" s="3">
        <v>9696.0499999999993</v>
      </c>
      <c r="I216" s="3">
        <v>4848.0200000000004</v>
      </c>
      <c r="J216" s="3">
        <v>33936.160000000003</v>
      </c>
    </row>
    <row r="217" spans="1:10" x14ac:dyDescent="0.25">
      <c r="A217" s="3" t="s">
        <v>7</v>
      </c>
      <c r="B217" s="8">
        <v>178</v>
      </c>
      <c r="C217" s="8">
        <v>20.034800000000001</v>
      </c>
      <c r="D217" s="8">
        <v>85.051199999999994</v>
      </c>
      <c r="E217" s="3">
        <v>3.6</v>
      </c>
      <c r="F217" s="3">
        <v>5408.82</v>
      </c>
      <c r="G217" s="3">
        <v>19471.75</v>
      </c>
      <c r="H217" s="3">
        <v>9735.8799999999992</v>
      </c>
      <c r="I217" s="3">
        <v>4867.9399999999996</v>
      </c>
      <c r="J217" s="3">
        <v>34075.57</v>
      </c>
    </row>
    <row r="218" spans="1:10" x14ac:dyDescent="0.25">
      <c r="A218" s="3" t="s">
        <v>7</v>
      </c>
      <c r="B218" s="8">
        <v>115</v>
      </c>
      <c r="C218" s="8">
        <v>20.030200000000001</v>
      </c>
      <c r="D218" s="8">
        <v>85.030299999999997</v>
      </c>
      <c r="E218" s="3">
        <v>3</v>
      </c>
      <c r="F218" s="3">
        <v>6535.07</v>
      </c>
      <c r="G218" s="3">
        <v>19605.21</v>
      </c>
      <c r="H218" s="3">
        <v>9802.61</v>
      </c>
      <c r="I218" s="3">
        <v>4901.3</v>
      </c>
      <c r="J218" s="3">
        <v>34309.120000000003</v>
      </c>
    </row>
    <row r="219" spans="1:10" x14ac:dyDescent="0.25">
      <c r="A219" s="3" t="s">
        <v>7</v>
      </c>
      <c r="B219" s="8">
        <v>121</v>
      </c>
      <c r="C219" s="8">
        <v>20.035799999999998</v>
      </c>
      <c r="D219" s="8">
        <v>85.028400000000005</v>
      </c>
      <c r="E219" s="3">
        <v>3</v>
      </c>
      <c r="F219" s="3">
        <v>6548.83</v>
      </c>
      <c r="G219" s="3">
        <v>19646.490000000002</v>
      </c>
      <c r="H219" s="3">
        <v>9823.24</v>
      </c>
      <c r="I219" s="3">
        <v>4911.62</v>
      </c>
      <c r="J219" s="3">
        <v>34381.35</v>
      </c>
    </row>
    <row r="220" spans="1:10" x14ac:dyDescent="0.25">
      <c r="A220" s="3" t="s">
        <v>7</v>
      </c>
      <c r="B220" s="8">
        <v>96</v>
      </c>
      <c r="C220" s="8">
        <v>20.013400000000001</v>
      </c>
      <c r="D220" s="8">
        <v>85.023499999999999</v>
      </c>
      <c r="E220" s="3">
        <v>3</v>
      </c>
      <c r="F220" s="3">
        <v>6920.4</v>
      </c>
      <c r="G220" s="3">
        <v>20761.2</v>
      </c>
      <c r="H220" s="3">
        <v>10380.6</v>
      </c>
      <c r="I220" s="3">
        <v>5190.3</v>
      </c>
      <c r="J220" s="3">
        <v>36332.1</v>
      </c>
    </row>
    <row r="221" spans="1:10" x14ac:dyDescent="0.25">
      <c r="A221" s="3" t="s">
        <v>7</v>
      </c>
      <c r="B221" s="8">
        <v>57</v>
      </c>
      <c r="C221" s="8">
        <v>20.0092</v>
      </c>
      <c r="D221" s="8">
        <v>84.997799999999998</v>
      </c>
      <c r="E221" s="3">
        <v>4</v>
      </c>
      <c r="F221" s="3">
        <v>5550.42</v>
      </c>
      <c r="G221" s="3">
        <v>22201.68</v>
      </c>
      <c r="H221" s="3">
        <v>11100.84</v>
      </c>
      <c r="I221" s="3">
        <v>5550.42</v>
      </c>
      <c r="J221" s="3">
        <v>38852.94</v>
      </c>
    </row>
    <row r="222" spans="1:10" x14ac:dyDescent="0.25">
      <c r="A222" s="3" t="s">
        <v>7</v>
      </c>
      <c r="B222" s="8">
        <v>181</v>
      </c>
      <c r="C222" s="8">
        <v>20.031400000000001</v>
      </c>
      <c r="D222" s="8">
        <v>85.085300000000004</v>
      </c>
      <c r="E222" s="3">
        <v>4</v>
      </c>
      <c r="F222" s="3">
        <v>5590.64</v>
      </c>
      <c r="G222" s="3">
        <v>22362.560000000001</v>
      </c>
      <c r="H222" s="3">
        <v>11181.28</v>
      </c>
      <c r="I222" s="3">
        <v>5590.64</v>
      </c>
      <c r="J222" s="3">
        <v>39134.480000000003</v>
      </c>
    </row>
    <row r="223" spans="1:10" x14ac:dyDescent="0.25">
      <c r="A223" s="3" t="s">
        <v>7</v>
      </c>
      <c r="B223" s="8">
        <v>260</v>
      </c>
      <c r="C223" s="8">
        <v>20.041399999999999</v>
      </c>
      <c r="D223" s="8">
        <v>85.127700000000004</v>
      </c>
      <c r="E223" s="3">
        <v>3</v>
      </c>
      <c r="F223" s="3">
        <v>7564.58</v>
      </c>
      <c r="G223" s="3">
        <v>22693.74</v>
      </c>
      <c r="H223" s="3">
        <v>11346.87</v>
      </c>
      <c r="I223" s="3">
        <v>5673.44</v>
      </c>
      <c r="J223" s="3">
        <v>39714.050000000003</v>
      </c>
    </row>
    <row r="224" spans="1:10" x14ac:dyDescent="0.25">
      <c r="A224" s="3" t="s">
        <v>7</v>
      </c>
      <c r="B224" s="8">
        <v>112</v>
      </c>
      <c r="C224" s="8">
        <v>20.022400000000001</v>
      </c>
      <c r="D224" s="8">
        <v>85.020099999999999</v>
      </c>
      <c r="E224" s="3">
        <v>4</v>
      </c>
      <c r="F224" s="3">
        <v>5738.72</v>
      </c>
      <c r="G224" s="3">
        <v>22954.880000000001</v>
      </c>
      <c r="H224" s="3">
        <v>11477.44</v>
      </c>
      <c r="I224" s="3">
        <v>5738.72</v>
      </c>
      <c r="J224" s="3">
        <v>40171.040000000001</v>
      </c>
    </row>
    <row r="225" spans="1:10" x14ac:dyDescent="0.25">
      <c r="A225" s="3" t="s">
        <v>7</v>
      </c>
      <c r="B225" s="8">
        <v>68</v>
      </c>
      <c r="C225" s="8">
        <v>20.015899999999998</v>
      </c>
      <c r="D225" s="8">
        <v>84.992699999999999</v>
      </c>
      <c r="E225" s="3">
        <v>4</v>
      </c>
      <c r="F225" s="3">
        <v>5788.72</v>
      </c>
      <c r="G225" s="3">
        <v>23154.880000000001</v>
      </c>
      <c r="H225" s="3">
        <v>11577.44</v>
      </c>
      <c r="I225" s="3">
        <v>5788.72</v>
      </c>
      <c r="J225" s="3">
        <v>40521.040000000001</v>
      </c>
    </row>
    <row r="226" spans="1:10" x14ac:dyDescent="0.25">
      <c r="A226" s="3" t="s">
        <v>7</v>
      </c>
      <c r="B226" s="8">
        <v>225</v>
      </c>
      <c r="C226" s="8">
        <v>20.0259</v>
      </c>
      <c r="D226" s="8">
        <v>85.085999999999999</v>
      </c>
      <c r="E226" s="3">
        <v>3</v>
      </c>
      <c r="F226" s="3">
        <v>7760.06</v>
      </c>
      <c r="G226" s="3">
        <v>23280.18</v>
      </c>
      <c r="H226" s="3">
        <v>11640.09</v>
      </c>
      <c r="I226" s="3">
        <v>5820.05</v>
      </c>
      <c r="J226" s="3">
        <v>40740.32</v>
      </c>
    </row>
    <row r="227" spans="1:10" x14ac:dyDescent="0.25">
      <c r="A227" s="3" t="s">
        <v>7</v>
      </c>
      <c r="B227" s="8">
        <v>219</v>
      </c>
      <c r="C227" s="8">
        <v>20.0229</v>
      </c>
      <c r="D227" s="8">
        <v>85.081100000000006</v>
      </c>
      <c r="E227" s="3">
        <v>3</v>
      </c>
      <c r="F227" s="3">
        <v>7868.47</v>
      </c>
      <c r="G227" s="3">
        <v>23605.41</v>
      </c>
      <c r="H227" s="3">
        <v>11802.71</v>
      </c>
      <c r="I227" s="3">
        <v>5901.35</v>
      </c>
      <c r="J227" s="3">
        <v>41309.47</v>
      </c>
    </row>
    <row r="228" spans="1:10" x14ac:dyDescent="0.25">
      <c r="A228" s="3" t="s">
        <v>7</v>
      </c>
      <c r="B228" s="8">
        <v>132</v>
      </c>
      <c r="C228" s="8">
        <v>20.048100000000002</v>
      </c>
      <c r="D228" s="8">
        <v>85.022499999999994</v>
      </c>
      <c r="E228" s="3">
        <v>4</v>
      </c>
      <c r="F228" s="3">
        <v>5942.48</v>
      </c>
      <c r="G228" s="3">
        <v>23769.919999999998</v>
      </c>
      <c r="H228" s="3">
        <v>11884.96</v>
      </c>
      <c r="I228" s="3">
        <v>5942.48</v>
      </c>
      <c r="J228" s="3">
        <v>41597.360000000001</v>
      </c>
    </row>
    <row r="229" spans="1:10" x14ac:dyDescent="0.25">
      <c r="A229" s="3" t="s">
        <v>7</v>
      </c>
      <c r="B229" s="8">
        <v>251</v>
      </c>
      <c r="C229" s="8">
        <v>20.031500000000001</v>
      </c>
      <c r="D229" s="8">
        <v>85.12</v>
      </c>
      <c r="E229" s="3">
        <v>4</v>
      </c>
      <c r="F229" s="3">
        <v>5983.81</v>
      </c>
      <c r="G229" s="3">
        <v>23935.24</v>
      </c>
      <c r="H229" s="3">
        <v>11967.62</v>
      </c>
      <c r="I229" s="3">
        <v>5983.81</v>
      </c>
      <c r="J229" s="3">
        <v>41886.67</v>
      </c>
    </row>
    <row r="230" spans="1:10" x14ac:dyDescent="0.25">
      <c r="A230" s="3" t="s">
        <v>7</v>
      </c>
      <c r="B230" s="8">
        <v>160</v>
      </c>
      <c r="C230" s="8">
        <v>20.015000000000001</v>
      </c>
      <c r="D230" s="8">
        <v>85.054000000000002</v>
      </c>
      <c r="E230" s="3">
        <v>4</v>
      </c>
      <c r="F230" s="3">
        <v>6020.76</v>
      </c>
      <c r="G230" s="3">
        <v>24083.040000000001</v>
      </c>
      <c r="H230" s="3">
        <v>12041.52</v>
      </c>
      <c r="I230" s="3">
        <v>6020.76</v>
      </c>
      <c r="J230" s="3">
        <v>42145.32</v>
      </c>
    </row>
    <row r="231" spans="1:10" x14ac:dyDescent="0.25">
      <c r="A231" s="3" t="s">
        <v>7</v>
      </c>
      <c r="B231" s="8">
        <v>157</v>
      </c>
      <c r="C231" s="8">
        <v>20.013000000000002</v>
      </c>
      <c r="D231" s="8">
        <v>85.056100000000001</v>
      </c>
      <c r="E231" s="3">
        <v>3</v>
      </c>
      <c r="F231" s="3">
        <v>8097.19</v>
      </c>
      <c r="G231" s="3">
        <v>24291.57</v>
      </c>
      <c r="H231" s="3">
        <v>12145.79</v>
      </c>
      <c r="I231" s="3">
        <v>6072.89</v>
      </c>
      <c r="J231" s="3">
        <v>42510.25</v>
      </c>
    </row>
    <row r="232" spans="1:10" x14ac:dyDescent="0.25">
      <c r="A232" s="3" t="s">
        <v>7</v>
      </c>
      <c r="B232" s="8">
        <v>142</v>
      </c>
      <c r="C232" s="8">
        <v>20.057200000000002</v>
      </c>
      <c r="D232" s="8">
        <v>85.030100000000004</v>
      </c>
      <c r="E232" s="3">
        <v>3</v>
      </c>
      <c r="F232" s="3">
        <v>8135.61</v>
      </c>
      <c r="G232" s="3">
        <v>24406.83</v>
      </c>
      <c r="H232" s="3">
        <v>12203.42</v>
      </c>
      <c r="I232" s="3">
        <v>6101.71</v>
      </c>
      <c r="J232" s="3">
        <v>42711.96</v>
      </c>
    </row>
    <row r="233" spans="1:10" x14ac:dyDescent="0.25">
      <c r="A233" s="3" t="s">
        <v>7</v>
      </c>
      <c r="B233" s="8">
        <v>218</v>
      </c>
      <c r="C233" s="8">
        <v>20.023</v>
      </c>
      <c r="D233" s="8">
        <v>85.0779</v>
      </c>
      <c r="E233" s="3">
        <v>4</v>
      </c>
      <c r="F233" s="3">
        <v>6139.27</v>
      </c>
      <c r="G233" s="3">
        <v>24557.08</v>
      </c>
      <c r="H233" s="3">
        <v>12278.54</v>
      </c>
      <c r="I233" s="3">
        <v>6139.27</v>
      </c>
      <c r="J233" s="3">
        <v>42974.89</v>
      </c>
    </row>
    <row r="234" spans="1:10" x14ac:dyDescent="0.25">
      <c r="A234" s="3" t="s">
        <v>7</v>
      </c>
      <c r="B234" s="8">
        <v>126</v>
      </c>
      <c r="C234" s="8">
        <v>20.0413</v>
      </c>
      <c r="D234" s="8">
        <v>85.033600000000007</v>
      </c>
      <c r="E234" s="3">
        <v>3.5</v>
      </c>
      <c r="F234" s="3">
        <v>7023.03</v>
      </c>
      <c r="G234" s="3">
        <v>24580.61</v>
      </c>
      <c r="H234" s="3">
        <v>12290.3</v>
      </c>
      <c r="I234" s="3">
        <v>6145.15</v>
      </c>
      <c r="J234" s="3">
        <v>43016.06</v>
      </c>
    </row>
    <row r="235" spans="1:10" x14ac:dyDescent="0.25">
      <c r="A235" s="3" t="s">
        <v>7</v>
      </c>
      <c r="B235" s="8">
        <v>217</v>
      </c>
      <c r="C235" s="8">
        <v>20.021000000000001</v>
      </c>
      <c r="D235" s="8">
        <v>85.0715</v>
      </c>
      <c r="E235" s="3">
        <v>4</v>
      </c>
      <c r="F235" s="3">
        <v>6185.89</v>
      </c>
      <c r="G235" s="3">
        <v>24743.56</v>
      </c>
      <c r="H235" s="3">
        <v>12371.78</v>
      </c>
      <c r="I235" s="3">
        <v>6185.89</v>
      </c>
      <c r="J235" s="3">
        <v>43301.23</v>
      </c>
    </row>
    <row r="236" spans="1:10" x14ac:dyDescent="0.25">
      <c r="A236" s="3" t="s">
        <v>7</v>
      </c>
      <c r="B236" s="8">
        <v>188</v>
      </c>
      <c r="C236" s="8">
        <v>20.040400000000002</v>
      </c>
      <c r="D236" s="8">
        <v>85.092699999999994</v>
      </c>
      <c r="E236" s="3">
        <v>3</v>
      </c>
      <c r="F236" s="3">
        <v>8346.19</v>
      </c>
      <c r="G236" s="3">
        <v>25038.57</v>
      </c>
      <c r="H236" s="3">
        <v>12519.29</v>
      </c>
      <c r="I236" s="3">
        <v>6259.64</v>
      </c>
      <c r="J236" s="3">
        <v>43817.5</v>
      </c>
    </row>
    <row r="237" spans="1:10" x14ac:dyDescent="0.25">
      <c r="A237" s="3" t="s">
        <v>7</v>
      </c>
      <c r="B237" s="8">
        <v>212</v>
      </c>
      <c r="C237" s="8">
        <v>20.0656</v>
      </c>
      <c r="D237" s="8">
        <v>85.0916</v>
      </c>
      <c r="E237" s="3">
        <v>4</v>
      </c>
      <c r="F237" s="3">
        <v>6292.68</v>
      </c>
      <c r="G237" s="3">
        <v>25170.720000000001</v>
      </c>
      <c r="H237" s="3">
        <v>12585.36</v>
      </c>
      <c r="I237" s="3">
        <v>6292.68</v>
      </c>
      <c r="J237" s="3">
        <v>44048.76</v>
      </c>
    </row>
    <row r="238" spans="1:10" x14ac:dyDescent="0.25">
      <c r="A238" s="3" t="s">
        <v>7</v>
      </c>
      <c r="B238" s="8">
        <v>102</v>
      </c>
      <c r="C238" s="8">
        <v>20.015799999999999</v>
      </c>
      <c r="D238" s="8">
        <v>85.029200000000003</v>
      </c>
      <c r="E238" s="3">
        <v>4</v>
      </c>
      <c r="F238" s="3">
        <v>6495.81</v>
      </c>
      <c r="G238" s="3">
        <v>25983.24</v>
      </c>
      <c r="H238" s="3">
        <v>12991.62</v>
      </c>
      <c r="I238" s="3">
        <v>6495.81</v>
      </c>
      <c r="J238" s="3">
        <v>45470.67</v>
      </c>
    </row>
    <row r="239" spans="1:10" x14ac:dyDescent="0.25">
      <c r="A239" s="3" t="s">
        <v>7</v>
      </c>
      <c r="B239" s="8">
        <v>258</v>
      </c>
      <c r="C239" s="8">
        <v>20.043299999999999</v>
      </c>
      <c r="D239" s="8">
        <v>85.123599999999996</v>
      </c>
      <c r="E239" s="3">
        <v>4</v>
      </c>
      <c r="F239" s="3">
        <v>6520.01</v>
      </c>
      <c r="G239" s="3">
        <v>26080.04</v>
      </c>
      <c r="H239" s="3">
        <v>13040.02</v>
      </c>
      <c r="I239" s="3">
        <v>6520.01</v>
      </c>
      <c r="J239" s="3">
        <v>45640.07</v>
      </c>
    </row>
    <row r="240" spans="1:10" x14ac:dyDescent="0.25">
      <c r="A240" s="3" t="s">
        <v>7</v>
      </c>
      <c r="B240" s="8">
        <v>51</v>
      </c>
      <c r="C240" s="8">
        <v>20.032</v>
      </c>
      <c r="D240" s="8">
        <v>85.004199999999997</v>
      </c>
      <c r="E240" s="3">
        <v>4</v>
      </c>
      <c r="F240" s="3">
        <v>6680.23</v>
      </c>
      <c r="G240" s="3">
        <v>26720.92</v>
      </c>
      <c r="H240" s="3">
        <v>13360.46</v>
      </c>
      <c r="I240" s="3">
        <v>6680.23</v>
      </c>
      <c r="J240" s="3">
        <v>46761.61</v>
      </c>
    </row>
    <row r="241" spans="1:10" x14ac:dyDescent="0.25">
      <c r="A241" s="3" t="s">
        <v>7</v>
      </c>
      <c r="B241" s="8">
        <v>231</v>
      </c>
      <c r="C241" s="8">
        <v>20.0336</v>
      </c>
      <c r="D241" s="8">
        <v>85.102599999999995</v>
      </c>
      <c r="E241" s="3">
        <v>3</v>
      </c>
      <c r="F241" s="3">
        <v>8908.77</v>
      </c>
      <c r="G241" s="3">
        <v>26726.31</v>
      </c>
      <c r="H241" s="3">
        <v>13363.16</v>
      </c>
      <c r="I241" s="3">
        <v>6681.58</v>
      </c>
      <c r="J241" s="3">
        <v>46771.05</v>
      </c>
    </row>
    <row r="242" spans="1:10" x14ac:dyDescent="0.25">
      <c r="A242" s="3" t="s">
        <v>7</v>
      </c>
      <c r="B242" s="8">
        <v>164</v>
      </c>
      <c r="C242" s="8">
        <v>20.018799999999999</v>
      </c>
      <c r="D242" s="8">
        <v>85.055999999999997</v>
      </c>
      <c r="E242" s="3">
        <v>3</v>
      </c>
      <c r="F242" s="3">
        <v>9209.61</v>
      </c>
      <c r="G242" s="3">
        <v>27628.83</v>
      </c>
      <c r="H242" s="3">
        <v>13814.42</v>
      </c>
      <c r="I242" s="3">
        <v>6907.21</v>
      </c>
      <c r="J242" s="3">
        <v>48350.46</v>
      </c>
    </row>
    <row r="243" spans="1:10" x14ac:dyDescent="0.25">
      <c r="A243" s="3" t="s">
        <v>7</v>
      </c>
      <c r="B243" s="8">
        <v>19</v>
      </c>
      <c r="C243" s="8">
        <v>20.0304</v>
      </c>
      <c r="D243" s="8">
        <v>84.968699999999998</v>
      </c>
      <c r="E243" s="3">
        <v>3.5</v>
      </c>
      <c r="F243" s="3">
        <v>7901.06</v>
      </c>
      <c r="G243" s="3">
        <v>27653.71</v>
      </c>
      <c r="H243" s="3">
        <v>13826.86</v>
      </c>
      <c r="I243" s="3">
        <v>6913.43</v>
      </c>
      <c r="J243" s="3">
        <v>48394</v>
      </c>
    </row>
    <row r="244" spans="1:10" x14ac:dyDescent="0.25">
      <c r="A244" s="3" t="s">
        <v>7</v>
      </c>
      <c r="B244" s="8">
        <v>194</v>
      </c>
      <c r="C244" s="8">
        <v>20.041699999999999</v>
      </c>
      <c r="D244" s="8">
        <v>85.112399999999994</v>
      </c>
      <c r="E244" s="3">
        <v>4</v>
      </c>
      <c r="F244" s="3">
        <v>7100.49</v>
      </c>
      <c r="G244" s="3">
        <v>28401.96</v>
      </c>
      <c r="H244" s="3">
        <v>14200.98</v>
      </c>
      <c r="I244" s="3">
        <v>7100.49</v>
      </c>
      <c r="J244" s="3">
        <v>49703.43</v>
      </c>
    </row>
    <row r="245" spans="1:10" x14ac:dyDescent="0.25">
      <c r="A245" s="3" t="s">
        <v>7</v>
      </c>
      <c r="B245" s="8">
        <v>238</v>
      </c>
      <c r="C245" s="8">
        <v>20.0381</v>
      </c>
      <c r="D245" s="8">
        <v>85.114500000000007</v>
      </c>
      <c r="E245" s="3">
        <v>4</v>
      </c>
      <c r="F245" s="3">
        <v>7102.55</v>
      </c>
      <c r="G245" s="3">
        <v>28410.2</v>
      </c>
      <c r="H245" s="3">
        <v>14205.1</v>
      </c>
      <c r="I245" s="3">
        <v>7102.55</v>
      </c>
      <c r="J245" s="3">
        <v>49717.85</v>
      </c>
    </row>
    <row r="246" spans="1:10" x14ac:dyDescent="0.25">
      <c r="A246" s="3" t="s">
        <v>7</v>
      </c>
      <c r="B246" s="8">
        <v>95</v>
      </c>
      <c r="C246" s="8">
        <v>20.012599999999999</v>
      </c>
      <c r="D246" s="8">
        <v>85.0274</v>
      </c>
      <c r="E246" s="3">
        <v>3</v>
      </c>
      <c r="F246" s="3">
        <v>9692.23</v>
      </c>
      <c r="G246" s="3">
        <v>29076.69</v>
      </c>
      <c r="H246" s="3">
        <v>14538.35</v>
      </c>
      <c r="I246" s="3">
        <v>7269.17</v>
      </c>
      <c r="J246" s="3">
        <v>50884.21</v>
      </c>
    </row>
    <row r="247" spans="1:10" x14ac:dyDescent="0.25">
      <c r="A247" s="3" t="s">
        <v>7</v>
      </c>
      <c r="B247" s="8">
        <v>18</v>
      </c>
      <c r="C247" s="8">
        <v>20.032800000000002</v>
      </c>
      <c r="D247" s="8">
        <v>84.964299999999994</v>
      </c>
      <c r="E247" s="3">
        <v>4</v>
      </c>
      <c r="F247" s="3">
        <v>7292.52</v>
      </c>
      <c r="G247" s="3">
        <v>29170.080000000002</v>
      </c>
      <c r="H247" s="3">
        <v>14585.04</v>
      </c>
      <c r="I247" s="3">
        <v>7292.52</v>
      </c>
      <c r="J247" s="3">
        <v>51047.64</v>
      </c>
    </row>
    <row r="248" spans="1:10" x14ac:dyDescent="0.25">
      <c r="A248" s="3" t="s">
        <v>7</v>
      </c>
      <c r="B248" s="8">
        <v>14</v>
      </c>
      <c r="C248" s="8">
        <v>20.0242</v>
      </c>
      <c r="D248" s="8">
        <v>84.9833</v>
      </c>
      <c r="E248" s="3">
        <v>3.5</v>
      </c>
      <c r="F248" s="3">
        <v>8632.09</v>
      </c>
      <c r="G248" s="3">
        <v>30212.32</v>
      </c>
      <c r="H248" s="3">
        <v>15106.16</v>
      </c>
      <c r="I248" s="3">
        <v>7553.08</v>
      </c>
      <c r="J248" s="3">
        <v>52871.56</v>
      </c>
    </row>
    <row r="249" spans="1:10" x14ac:dyDescent="0.25">
      <c r="A249" s="3" t="s">
        <v>7</v>
      </c>
      <c r="B249" s="8">
        <v>161</v>
      </c>
      <c r="C249" s="8">
        <v>20.016100000000002</v>
      </c>
      <c r="D249" s="8">
        <v>85.059899999999999</v>
      </c>
      <c r="E249" s="3">
        <v>4</v>
      </c>
      <c r="F249" s="3">
        <v>7645.11</v>
      </c>
      <c r="G249" s="3">
        <v>30580.44</v>
      </c>
      <c r="H249" s="3">
        <v>15290.22</v>
      </c>
      <c r="I249" s="3">
        <v>7645.11</v>
      </c>
      <c r="J249" s="3">
        <v>53515.77</v>
      </c>
    </row>
    <row r="250" spans="1:10" x14ac:dyDescent="0.25">
      <c r="A250" s="3" t="s">
        <v>7</v>
      </c>
      <c r="B250" s="8">
        <v>208</v>
      </c>
      <c r="C250" s="8">
        <v>20.061699999999998</v>
      </c>
      <c r="D250" s="8">
        <v>85.087000000000003</v>
      </c>
      <c r="E250" s="3">
        <v>3</v>
      </c>
      <c r="F250" s="3">
        <v>10202.459999999999</v>
      </c>
      <c r="G250" s="3">
        <v>30607.38</v>
      </c>
      <c r="H250" s="3">
        <v>15303.69</v>
      </c>
      <c r="I250" s="3">
        <v>7651.84</v>
      </c>
      <c r="J250" s="3">
        <v>53562.91</v>
      </c>
    </row>
    <row r="251" spans="1:10" x14ac:dyDescent="0.25">
      <c r="A251" s="3" t="s">
        <v>7</v>
      </c>
      <c r="B251" s="8">
        <v>235</v>
      </c>
      <c r="C251" s="8">
        <v>20.036899999999999</v>
      </c>
      <c r="D251" s="8">
        <v>85.107500000000002</v>
      </c>
      <c r="E251" s="3">
        <v>3</v>
      </c>
      <c r="F251" s="3">
        <v>10268.75</v>
      </c>
      <c r="G251" s="3">
        <v>30806.25</v>
      </c>
      <c r="H251" s="3">
        <v>15403.13</v>
      </c>
      <c r="I251" s="3">
        <v>7701.56</v>
      </c>
      <c r="J251" s="3">
        <v>53910.94</v>
      </c>
    </row>
    <row r="252" spans="1:10" x14ac:dyDescent="0.25">
      <c r="A252" s="3" t="s">
        <v>7</v>
      </c>
      <c r="B252" s="8">
        <v>88</v>
      </c>
      <c r="C252" s="8">
        <v>20.0044</v>
      </c>
      <c r="D252" s="8">
        <v>85.025899999999993</v>
      </c>
      <c r="E252" s="3">
        <v>4</v>
      </c>
      <c r="F252" s="3">
        <v>7934.76</v>
      </c>
      <c r="G252" s="3">
        <v>31739.040000000001</v>
      </c>
      <c r="H252" s="3">
        <v>15869.52</v>
      </c>
      <c r="I252" s="3">
        <v>7934.76</v>
      </c>
      <c r="J252" s="3">
        <v>55543.32</v>
      </c>
    </row>
    <row r="253" spans="1:10" x14ac:dyDescent="0.25">
      <c r="A253" s="3" t="s">
        <v>7</v>
      </c>
      <c r="B253" s="8">
        <v>55</v>
      </c>
      <c r="C253" s="8">
        <v>20.003699999999998</v>
      </c>
      <c r="D253" s="8">
        <v>85.000600000000006</v>
      </c>
      <c r="E253" s="3">
        <v>4</v>
      </c>
      <c r="F253" s="3">
        <v>7941.09</v>
      </c>
      <c r="G253" s="3">
        <v>31764.36</v>
      </c>
      <c r="H253" s="3">
        <v>15882.18</v>
      </c>
      <c r="I253" s="3">
        <v>7941.09</v>
      </c>
      <c r="J253" s="3">
        <v>55587.63</v>
      </c>
    </row>
    <row r="254" spans="1:10" x14ac:dyDescent="0.25">
      <c r="A254" s="3" t="s">
        <v>7</v>
      </c>
      <c r="B254" s="8">
        <v>80</v>
      </c>
      <c r="C254" s="8">
        <v>20.0181</v>
      </c>
      <c r="D254" s="8">
        <v>85.013199999999998</v>
      </c>
      <c r="E254" s="3">
        <v>4</v>
      </c>
      <c r="F254" s="3">
        <v>7981.34</v>
      </c>
      <c r="G254" s="3">
        <v>31925.360000000001</v>
      </c>
      <c r="H254" s="3">
        <v>15962.68</v>
      </c>
      <c r="I254" s="3">
        <v>7981.34</v>
      </c>
      <c r="J254" s="3">
        <v>55869.38</v>
      </c>
    </row>
    <row r="255" spans="1:10" x14ac:dyDescent="0.25">
      <c r="A255" s="3" t="s">
        <v>7</v>
      </c>
      <c r="B255" s="8">
        <v>204</v>
      </c>
      <c r="C255" s="8">
        <v>20.055499999999999</v>
      </c>
      <c r="D255" s="8">
        <v>85.077100000000002</v>
      </c>
      <c r="E255" s="3">
        <v>3</v>
      </c>
      <c r="F255" s="3">
        <v>10704.14</v>
      </c>
      <c r="G255" s="3">
        <v>32112.42</v>
      </c>
      <c r="H255" s="3">
        <v>16056.21</v>
      </c>
      <c r="I255" s="3">
        <v>8028.11</v>
      </c>
      <c r="J255" s="3">
        <v>56196.74</v>
      </c>
    </row>
    <row r="256" spans="1:10" x14ac:dyDescent="0.25">
      <c r="A256" s="3" t="s">
        <v>7</v>
      </c>
      <c r="B256" s="8">
        <v>262</v>
      </c>
      <c r="C256" s="8">
        <v>20.048300000000001</v>
      </c>
      <c r="D256" s="8">
        <v>85.134200000000007</v>
      </c>
      <c r="E256" s="3">
        <v>3</v>
      </c>
      <c r="F256" s="3">
        <v>10991.71</v>
      </c>
      <c r="G256" s="3">
        <v>32975.129999999997</v>
      </c>
      <c r="H256" s="3">
        <v>16487.560000000001</v>
      </c>
      <c r="I256" s="3">
        <v>8243.7800000000007</v>
      </c>
      <c r="J256" s="3">
        <v>57706.47</v>
      </c>
    </row>
    <row r="257" spans="1:10" x14ac:dyDescent="0.25">
      <c r="A257" s="3" t="s">
        <v>7</v>
      </c>
      <c r="B257" s="8">
        <v>229</v>
      </c>
      <c r="C257" s="8">
        <v>20.029</v>
      </c>
      <c r="D257" s="8">
        <v>85.097800000000007</v>
      </c>
      <c r="E257" s="3">
        <v>4</v>
      </c>
      <c r="F257" s="3">
        <v>8372.36</v>
      </c>
      <c r="G257" s="3">
        <v>33489.440000000002</v>
      </c>
      <c r="H257" s="3">
        <v>16744.72</v>
      </c>
      <c r="I257" s="3">
        <v>8372.36</v>
      </c>
      <c r="J257" s="3">
        <v>58606.52</v>
      </c>
    </row>
    <row r="258" spans="1:10" x14ac:dyDescent="0.25">
      <c r="A258" s="3" t="s">
        <v>7</v>
      </c>
      <c r="B258" s="8">
        <v>209</v>
      </c>
      <c r="C258" s="8">
        <v>20.0626</v>
      </c>
      <c r="D258" s="8">
        <v>85.088499999999996</v>
      </c>
      <c r="E258" s="3">
        <v>3</v>
      </c>
      <c r="F258" s="3">
        <v>11347.36</v>
      </c>
      <c r="G258" s="3">
        <v>34042.080000000002</v>
      </c>
      <c r="H258" s="3">
        <v>17021.04</v>
      </c>
      <c r="I258" s="3">
        <v>8510.52</v>
      </c>
      <c r="J258" s="3">
        <v>59573.64</v>
      </c>
    </row>
    <row r="259" spans="1:10" x14ac:dyDescent="0.25">
      <c r="A259" s="3" t="s">
        <v>7</v>
      </c>
      <c r="B259" s="8">
        <v>99</v>
      </c>
      <c r="C259" s="8">
        <v>20.018699999999999</v>
      </c>
      <c r="D259" s="8">
        <v>85.022800000000004</v>
      </c>
      <c r="E259" s="3">
        <v>4</v>
      </c>
      <c r="F259" s="3">
        <v>8623.17</v>
      </c>
      <c r="G259" s="3">
        <v>34492.68</v>
      </c>
      <c r="H259" s="3">
        <v>17246.34</v>
      </c>
      <c r="I259" s="3">
        <v>8623.17</v>
      </c>
      <c r="J259" s="3">
        <v>60362.19</v>
      </c>
    </row>
    <row r="260" spans="1:10" x14ac:dyDescent="0.25">
      <c r="A260" s="3" t="s">
        <v>7</v>
      </c>
      <c r="B260" s="8">
        <v>30</v>
      </c>
      <c r="C260" s="8">
        <v>19.999199999999998</v>
      </c>
      <c r="D260" s="8">
        <v>84.972200000000001</v>
      </c>
      <c r="E260" s="3">
        <v>4</v>
      </c>
      <c r="F260" s="3">
        <v>8715.41</v>
      </c>
      <c r="G260" s="3">
        <v>34861.64</v>
      </c>
      <c r="H260" s="3">
        <v>17430.82</v>
      </c>
      <c r="I260" s="3">
        <v>8715.41</v>
      </c>
      <c r="J260" s="3">
        <v>61007.87</v>
      </c>
    </row>
    <row r="261" spans="1:10" x14ac:dyDescent="0.25">
      <c r="A261" s="3" t="s">
        <v>7</v>
      </c>
      <c r="B261" s="8">
        <v>22</v>
      </c>
      <c r="C261" s="8">
        <v>20.023599999999998</v>
      </c>
      <c r="D261" s="8">
        <v>84.966700000000003</v>
      </c>
      <c r="E261" s="3">
        <v>4</v>
      </c>
      <c r="F261" s="3">
        <v>8725.32</v>
      </c>
      <c r="G261" s="3">
        <v>34901.279999999999</v>
      </c>
      <c r="H261" s="3">
        <v>17450.64</v>
      </c>
      <c r="I261" s="3">
        <v>8725.32</v>
      </c>
      <c r="J261" s="3">
        <v>61077.24</v>
      </c>
    </row>
    <row r="262" spans="1:10" x14ac:dyDescent="0.25">
      <c r="A262" s="3" t="s">
        <v>7</v>
      </c>
      <c r="B262" s="8">
        <v>245</v>
      </c>
      <c r="C262" s="8">
        <v>20.027100000000001</v>
      </c>
      <c r="D262" s="8">
        <v>85.1023</v>
      </c>
      <c r="E262" s="3">
        <v>4</v>
      </c>
      <c r="F262" s="3">
        <v>8810.5300000000007</v>
      </c>
      <c r="G262" s="3">
        <v>35242.120000000003</v>
      </c>
      <c r="H262" s="3">
        <v>17621.060000000001</v>
      </c>
      <c r="I262" s="3">
        <v>8810.5300000000007</v>
      </c>
      <c r="J262" s="3">
        <v>61673.71</v>
      </c>
    </row>
    <row r="263" spans="1:10" x14ac:dyDescent="0.25">
      <c r="A263" s="3" t="s">
        <v>7</v>
      </c>
      <c r="B263" s="8">
        <v>183</v>
      </c>
      <c r="C263" s="8">
        <v>20.036100000000001</v>
      </c>
      <c r="D263" s="8">
        <v>85.080799999999996</v>
      </c>
      <c r="E263" s="3">
        <v>3</v>
      </c>
      <c r="F263" s="3">
        <v>12382.63</v>
      </c>
      <c r="G263" s="3">
        <v>37147.89</v>
      </c>
      <c r="H263" s="3">
        <v>18573.95</v>
      </c>
      <c r="I263" s="3">
        <v>9286.9699999999993</v>
      </c>
      <c r="J263" s="3">
        <v>65008.81</v>
      </c>
    </row>
    <row r="264" spans="1:10" x14ac:dyDescent="0.25">
      <c r="A264" s="3" t="s">
        <v>7</v>
      </c>
      <c r="B264" s="8">
        <v>106</v>
      </c>
      <c r="C264" s="8">
        <v>20.017199999999999</v>
      </c>
      <c r="D264" s="8">
        <v>85.038799999999995</v>
      </c>
      <c r="E264" s="3">
        <v>4</v>
      </c>
      <c r="F264" s="3">
        <v>9289.52</v>
      </c>
      <c r="G264" s="3">
        <v>37158.080000000002</v>
      </c>
      <c r="H264" s="3">
        <v>18579.04</v>
      </c>
      <c r="I264" s="3">
        <v>9289.52</v>
      </c>
      <c r="J264" s="3">
        <v>65026.64</v>
      </c>
    </row>
    <row r="265" spans="1:10" x14ac:dyDescent="0.25">
      <c r="A265" s="3" t="s">
        <v>7</v>
      </c>
      <c r="B265" s="8">
        <v>271</v>
      </c>
      <c r="C265" s="8">
        <v>20.066700000000001</v>
      </c>
      <c r="D265" s="8">
        <v>85.163200000000003</v>
      </c>
      <c r="E265" s="3">
        <v>4</v>
      </c>
      <c r="F265" s="3">
        <v>9539.08</v>
      </c>
      <c r="G265" s="3">
        <v>38156.32</v>
      </c>
      <c r="H265" s="3">
        <v>19078.16</v>
      </c>
      <c r="I265" s="3">
        <v>9539.08</v>
      </c>
      <c r="J265" s="3">
        <v>66773.56</v>
      </c>
    </row>
    <row r="266" spans="1:10" x14ac:dyDescent="0.25">
      <c r="A266" s="3" t="s">
        <v>7</v>
      </c>
      <c r="B266" s="8">
        <v>93</v>
      </c>
      <c r="C266" s="8">
        <v>20.013999999999999</v>
      </c>
      <c r="D266" s="8">
        <v>85.018199999999993</v>
      </c>
      <c r="E266" s="3">
        <v>4</v>
      </c>
      <c r="F266" s="3">
        <v>9555.99</v>
      </c>
      <c r="G266" s="3">
        <v>38223.96</v>
      </c>
      <c r="H266" s="3">
        <v>19111.98</v>
      </c>
      <c r="I266" s="3">
        <v>9555.99</v>
      </c>
      <c r="J266" s="3">
        <v>66891.929999999993</v>
      </c>
    </row>
    <row r="267" spans="1:10" x14ac:dyDescent="0.25">
      <c r="A267" s="3" t="s">
        <v>7</v>
      </c>
      <c r="B267" s="8">
        <v>182</v>
      </c>
      <c r="C267" s="8">
        <v>20.033300000000001</v>
      </c>
      <c r="D267" s="8">
        <v>85.083299999999994</v>
      </c>
      <c r="E267" s="3">
        <v>4</v>
      </c>
      <c r="F267" s="3">
        <v>9833.4500000000007</v>
      </c>
      <c r="G267" s="3">
        <v>39333.800000000003</v>
      </c>
      <c r="H267" s="3">
        <v>19666.900000000001</v>
      </c>
      <c r="I267" s="3">
        <v>9833.4500000000007</v>
      </c>
      <c r="J267" s="3">
        <v>68834.149999999994</v>
      </c>
    </row>
    <row r="268" spans="1:10" x14ac:dyDescent="0.25">
      <c r="A268" s="3" t="s">
        <v>7</v>
      </c>
      <c r="B268" s="8">
        <v>101</v>
      </c>
      <c r="C268" s="8">
        <v>20.017299999999999</v>
      </c>
      <c r="D268" s="8">
        <v>85.028099999999995</v>
      </c>
      <c r="E268" s="3">
        <v>4</v>
      </c>
      <c r="F268" s="3">
        <v>10683.82</v>
      </c>
      <c r="G268" s="3">
        <v>42735.28</v>
      </c>
      <c r="H268" s="3">
        <v>21367.64</v>
      </c>
      <c r="I268" s="3">
        <v>10683.82</v>
      </c>
      <c r="J268" s="3">
        <v>74786.740000000005</v>
      </c>
    </row>
    <row r="269" spans="1:10" x14ac:dyDescent="0.25">
      <c r="A269" s="3" t="s">
        <v>7</v>
      </c>
      <c r="B269" s="8">
        <v>24</v>
      </c>
      <c r="C269" s="8">
        <v>20.014800000000001</v>
      </c>
      <c r="D269" s="8">
        <v>84.965599999999995</v>
      </c>
      <c r="E269" s="3">
        <v>3</v>
      </c>
      <c r="F269" s="3">
        <v>14540.93</v>
      </c>
      <c r="G269" s="3">
        <v>43622.79</v>
      </c>
      <c r="H269" s="3">
        <v>21811.4</v>
      </c>
      <c r="I269" s="3">
        <v>10905.7</v>
      </c>
      <c r="J269" s="3">
        <v>76339.89</v>
      </c>
    </row>
    <row r="270" spans="1:10" x14ac:dyDescent="0.25">
      <c r="A270" s="3" t="s">
        <v>7</v>
      </c>
      <c r="B270" s="8">
        <v>107</v>
      </c>
      <c r="C270" s="8">
        <v>20.019500000000001</v>
      </c>
      <c r="D270" s="8">
        <v>85.043700000000001</v>
      </c>
      <c r="E270" s="3">
        <v>4</v>
      </c>
      <c r="F270" s="3">
        <v>11403.69</v>
      </c>
      <c r="G270" s="3">
        <v>45614.76</v>
      </c>
      <c r="H270" s="3">
        <v>22807.38</v>
      </c>
      <c r="I270" s="3">
        <v>11403.69</v>
      </c>
      <c r="J270" s="3">
        <v>79825.83</v>
      </c>
    </row>
    <row r="271" spans="1:10" x14ac:dyDescent="0.25">
      <c r="A271" s="3" t="s">
        <v>7</v>
      </c>
      <c r="B271" s="8">
        <v>122</v>
      </c>
      <c r="C271" s="8">
        <v>20.037099999999999</v>
      </c>
      <c r="D271" s="8">
        <v>85.028899999999993</v>
      </c>
      <c r="E271" s="3">
        <v>4</v>
      </c>
      <c r="F271" s="3">
        <v>11664.96</v>
      </c>
      <c r="G271" s="3">
        <v>46659.839999999997</v>
      </c>
      <c r="H271" s="3">
        <v>23329.919999999998</v>
      </c>
      <c r="I271" s="3">
        <v>11664.96</v>
      </c>
      <c r="J271" s="3">
        <v>81654.720000000001</v>
      </c>
    </row>
    <row r="272" spans="1:10" x14ac:dyDescent="0.25">
      <c r="A272" s="3" t="s">
        <v>7</v>
      </c>
      <c r="B272" s="8">
        <v>200</v>
      </c>
      <c r="C272" s="8">
        <v>20.0398</v>
      </c>
      <c r="D272" s="8">
        <v>85.079099999999997</v>
      </c>
      <c r="E272" s="3">
        <v>4</v>
      </c>
      <c r="F272" s="3">
        <v>11860.6</v>
      </c>
      <c r="G272" s="3">
        <v>47442.400000000001</v>
      </c>
      <c r="H272" s="3">
        <v>23721.200000000001</v>
      </c>
      <c r="I272" s="3">
        <v>11860.6</v>
      </c>
      <c r="J272" s="3">
        <v>83024.2</v>
      </c>
    </row>
    <row r="273" spans="1:10" x14ac:dyDescent="0.25">
      <c r="A273" s="3" t="s">
        <v>7</v>
      </c>
      <c r="B273" s="8">
        <v>162</v>
      </c>
      <c r="C273" s="8">
        <v>20.015499999999999</v>
      </c>
      <c r="D273" s="8">
        <v>85.062200000000004</v>
      </c>
      <c r="E273" s="3">
        <v>4</v>
      </c>
      <c r="F273" s="3">
        <v>11921.9</v>
      </c>
      <c r="G273" s="3">
        <v>47687.6</v>
      </c>
      <c r="H273" s="3">
        <v>23843.8</v>
      </c>
      <c r="I273" s="3">
        <v>11921.9</v>
      </c>
      <c r="J273" s="3">
        <v>83453.3</v>
      </c>
    </row>
    <row r="274" spans="1:10" x14ac:dyDescent="0.25">
      <c r="A274" s="3" t="s">
        <v>7</v>
      </c>
      <c r="B274" s="8">
        <v>246</v>
      </c>
      <c r="C274" s="8">
        <v>20.03</v>
      </c>
      <c r="D274" s="8">
        <v>85.101299999999995</v>
      </c>
      <c r="E274" s="3">
        <v>4</v>
      </c>
      <c r="F274" s="3">
        <v>12278.69</v>
      </c>
      <c r="G274" s="3">
        <v>49114.76</v>
      </c>
      <c r="H274" s="3">
        <v>24557.38</v>
      </c>
      <c r="I274" s="3">
        <v>12278.69</v>
      </c>
      <c r="J274" s="3">
        <v>85950.83</v>
      </c>
    </row>
    <row r="275" spans="1:10" x14ac:dyDescent="0.25">
      <c r="A275" s="3" t="s">
        <v>7</v>
      </c>
      <c r="B275" s="8">
        <v>59</v>
      </c>
      <c r="C275" s="8">
        <v>20.009599999999999</v>
      </c>
      <c r="D275" s="8">
        <v>85.003</v>
      </c>
      <c r="E275" s="3">
        <v>4</v>
      </c>
      <c r="F275" s="3">
        <v>14252.06</v>
      </c>
      <c r="G275" s="3">
        <v>57008.24</v>
      </c>
      <c r="H275" s="3">
        <v>28504.12</v>
      </c>
      <c r="I275" s="3">
        <v>14252.06</v>
      </c>
      <c r="J275" s="3">
        <v>99764.42</v>
      </c>
    </row>
    <row r="276" spans="1:10" x14ac:dyDescent="0.25">
      <c r="A276" s="3" t="s">
        <v>7</v>
      </c>
      <c r="B276" s="8">
        <v>158</v>
      </c>
      <c r="C276" s="8">
        <v>20.0136</v>
      </c>
      <c r="D276" s="8">
        <v>85.050200000000004</v>
      </c>
      <c r="E276" s="3">
        <v>4</v>
      </c>
      <c r="F276" s="3">
        <v>14801.2</v>
      </c>
      <c r="G276" s="3">
        <v>59204.800000000003</v>
      </c>
      <c r="H276" s="3">
        <v>29602.400000000001</v>
      </c>
      <c r="I276" s="3">
        <v>14801.2</v>
      </c>
      <c r="J276" s="3">
        <v>103608.4</v>
      </c>
    </row>
    <row r="277" spans="1:10" x14ac:dyDescent="0.25">
      <c r="A277" s="3" t="s">
        <v>7</v>
      </c>
      <c r="B277" s="8">
        <v>13</v>
      </c>
      <c r="C277" s="8">
        <v>20.0229</v>
      </c>
      <c r="D277" s="8">
        <v>84.9846</v>
      </c>
      <c r="E277" s="3">
        <v>4</v>
      </c>
      <c r="F277" s="3">
        <v>14807.55</v>
      </c>
      <c r="G277" s="3">
        <v>59230.2</v>
      </c>
      <c r="H277" s="3">
        <v>29615.1</v>
      </c>
      <c r="I277" s="3">
        <v>14807.55</v>
      </c>
      <c r="J277" s="3">
        <v>103652.85</v>
      </c>
    </row>
    <row r="278" spans="1:10" x14ac:dyDescent="0.25">
      <c r="A278" s="3" t="s">
        <v>7</v>
      </c>
      <c r="B278" s="8">
        <v>174</v>
      </c>
      <c r="C278" s="8">
        <v>20.027799999999999</v>
      </c>
      <c r="D278" s="8">
        <v>85.063199999999995</v>
      </c>
      <c r="E278" s="3">
        <v>2</v>
      </c>
      <c r="F278" s="3">
        <v>30168.26</v>
      </c>
      <c r="G278" s="3">
        <v>60336.52</v>
      </c>
      <c r="H278" s="3">
        <v>30168.26</v>
      </c>
      <c r="I278" s="3">
        <v>15084.13</v>
      </c>
      <c r="J278" s="3">
        <v>105588.91</v>
      </c>
    </row>
    <row r="279" spans="1:10" x14ac:dyDescent="0.25">
      <c r="A279" s="3" t="s">
        <v>7</v>
      </c>
      <c r="B279" s="8">
        <v>193</v>
      </c>
      <c r="C279" s="8">
        <v>20.044</v>
      </c>
      <c r="D279" s="8">
        <v>85.114699999999999</v>
      </c>
      <c r="E279" s="3">
        <v>4</v>
      </c>
      <c r="F279" s="3">
        <v>16326.19</v>
      </c>
      <c r="G279" s="3">
        <v>65304.76</v>
      </c>
      <c r="H279" s="3">
        <v>32652.38</v>
      </c>
      <c r="I279" s="3">
        <v>16326.19</v>
      </c>
      <c r="J279" s="3">
        <v>114283.33</v>
      </c>
    </row>
    <row r="280" spans="1:10" x14ac:dyDescent="0.25">
      <c r="A280" s="3" t="s">
        <v>7</v>
      </c>
      <c r="B280" s="8">
        <v>94</v>
      </c>
      <c r="C280" s="8">
        <v>20.013300000000001</v>
      </c>
      <c r="D280" s="8">
        <v>85.025000000000006</v>
      </c>
      <c r="E280" s="3">
        <v>4</v>
      </c>
      <c r="F280" s="3">
        <v>18541.63</v>
      </c>
      <c r="G280" s="3">
        <v>74166.52</v>
      </c>
      <c r="H280" s="3">
        <v>37083.26</v>
      </c>
      <c r="I280" s="3">
        <v>18541.63</v>
      </c>
      <c r="J280" s="3">
        <v>129791.41</v>
      </c>
    </row>
    <row r="281" spans="1:10" x14ac:dyDescent="0.25">
      <c r="A281" s="3" t="s">
        <v>7</v>
      </c>
      <c r="B281" s="8">
        <v>105</v>
      </c>
      <c r="C281" s="8">
        <v>20.0154</v>
      </c>
      <c r="D281" s="8">
        <v>85.032799999999995</v>
      </c>
      <c r="E281" s="3">
        <v>4</v>
      </c>
      <c r="F281" s="3">
        <v>20631.64</v>
      </c>
      <c r="G281" s="3">
        <v>82526.559999999998</v>
      </c>
      <c r="H281" s="3">
        <v>41263.279999999999</v>
      </c>
      <c r="I281" s="3">
        <v>20631.64</v>
      </c>
      <c r="J281" s="3">
        <v>144421.48000000001</v>
      </c>
    </row>
    <row r="282" spans="1:10" x14ac:dyDescent="0.25">
      <c r="A282" s="3" t="s">
        <v>7</v>
      </c>
      <c r="B282" s="8">
        <v>56</v>
      </c>
      <c r="C282" s="8">
        <v>20.006399999999999</v>
      </c>
      <c r="D282" s="8">
        <v>84.999300000000005</v>
      </c>
      <c r="E282" s="3">
        <v>4</v>
      </c>
      <c r="F282" s="3">
        <v>22864.37</v>
      </c>
      <c r="G282" s="3">
        <v>91457.48</v>
      </c>
      <c r="H282" s="3">
        <v>45728.74</v>
      </c>
      <c r="I282" s="3">
        <v>22864.37</v>
      </c>
      <c r="J282" s="3">
        <v>160050.59</v>
      </c>
    </row>
    <row r="283" spans="1:10" x14ac:dyDescent="0.25">
      <c r="A283" s="3" t="s">
        <v>7</v>
      </c>
      <c r="B283" s="8">
        <v>23</v>
      </c>
      <c r="C283" s="8">
        <v>20.022600000000001</v>
      </c>
      <c r="D283" s="8">
        <v>84.975999999999999</v>
      </c>
      <c r="E283" s="3">
        <v>4</v>
      </c>
      <c r="F283" s="3">
        <v>50782.82</v>
      </c>
      <c r="G283" s="3">
        <v>203131.28</v>
      </c>
      <c r="H283" s="3">
        <v>101565.64</v>
      </c>
      <c r="I283" s="3">
        <v>50782.82</v>
      </c>
      <c r="J283" s="3">
        <v>355479.74</v>
      </c>
    </row>
    <row r="284" spans="1:10" x14ac:dyDescent="0.25">
      <c r="A284" s="3" t="s">
        <v>7</v>
      </c>
      <c r="B284" s="8">
        <v>138</v>
      </c>
      <c r="C284" s="8">
        <v>20.0471</v>
      </c>
      <c r="D284" s="8">
        <v>85.027299999999997</v>
      </c>
      <c r="E284" s="3">
        <v>4</v>
      </c>
      <c r="F284" s="3">
        <v>63936.160000000003</v>
      </c>
      <c r="G284" s="3">
        <v>255744.64000000001</v>
      </c>
      <c r="H284" s="3">
        <v>127872.32000000001</v>
      </c>
      <c r="I284" s="3">
        <v>63936.160000000003</v>
      </c>
      <c r="J284" s="3">
        <v>447553.12</v>
      </c>
    </row>
    <row r="285" spans="1:10" x14ac:dyDescent="0.25">
      <c r="A285" s="3" t="s">
        <v>7</v>
      </c>
      <c r="B285" s="8">
        <v>92</v>
      </c>
      <c r="C285" s="8">
        <v>20.011500000000002</v>
      </c>
      <c r="D285" s="8">
        <v>85.023300000000006</v>
      </c>
      <c r="E285" s="3">
        <v>4</v>
      </c>
      <c r="F285" s="3">
        <v>77727.92</v>
      </c>
      <c r="G285" s="3">
        <v>310911.68</v>
      </c>
      <c r="H285" s="3">
        <v>155455.84</v>
      </c>
      <c r="I285" s="3">
        <v>77727.92</v>
      </c>
      <c r="J285" s="3">
        <v>544095.43999999994</v>
      </c>
    </row>
    <row r="286" spans="1:10" x14ac:dyDescent="0.25">
      <c r="A286" s="5" t="s">
        <v>8</v>
      </c>
      <c r="B286" s="8"/>
      <c r="C286" s="8"/>
      <c r="D286" s="8"/>
      <c r="E286" s="6">
        <f>AVERAGE(E2:E285)</f>
        <v>2.9545774647887324</v>
      </c>
      <c r="F286" s="6">
        <f>SUM(F2:F285)</f>
        <v>1304509.7999999998</v>
      </c>
      <c r="G286" s="6">
        <f>SUM(G2:G285)</f>
        <v>4457235.799999998</v>
      </c>
      <c r="H286" s="6">
        <f>SUM(H2:H285)</f>
        <v>2228618.0699999989</v>
      </c>
      <c r="I286" s="6">
        <f>SUM(I2:I285)</f>
        <v>1114309.1399999994</v>
      </c>
      <c r="J286" s="6">
        <f>SUM(J2:J285)</f>
        <v>7800163.0099999979</v>
      </c>
    </row>
  </sheetData>
  <sortState xmlns:xlrd2="http://schemas.microsoft.com/office/spreadsheetml/2017/richdata2" ref="A2:J286">
    <sortCondition ref="G1:G2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AD7F-F9DA-437E-8EE4-F461E48C64D9}">
  <dimension ref="A1:AK308"/>
  <sheetViews>
    <sheetView tabSelected="1" topLeftCell="A274" workbookViewId="0">
      <selection activeCell="P307" sqref="P307"/>
    </sheetView>
  </sheetViews>
  <sheetFormatPr defaultRowHeight="15" x14ac:dyDescent="0.25"/>
  <cols>
    <col min="1" max="1" width="4" bestFit="1" customWidth="1"/>
    <col min="2" max="2" width="8.28515625" bestFit="1" customWidth="1"/>
    <col min="3" max="3" width="9.85546875" bestFit="1" customWidth="1"/>
    <col min="4" max="4" width="14.5703125" bestFit="1" customWidth="1"/>
    <col min="5" max="5" width="27.28515625" customWidth="1"/>
    <col min="7" max="7" width="10.5703125" bestFit="1" customWidth="1"/>
    <col min="8" max="8" width="13.42578125" bestFit="1" customWidth="1"/>
    <col min="9" max="9" width="20.5703125" customWidth="1"/>
    <col min="10" max="21" width="10.5703125" bestFit="1" customWidth="1"/>
    <col min="22" max="22" width="11.5703125" bestFit="1" customWidth="1"/>
    <col min="24" max="24" width="9.5703125" customWidth="1"/>
    <col min="25" max="25" width="7.42578125" bestFit="1" customWidth="1"/>
    <col min="26" max="26" width="8.140625" bestFit="1" customWidth="1"/>
    <col min="27" max="27" width="14.5703125" customWidth="1"/>
    <col min="28" max="28" width="22.85546875" customWidth="1"/>
    <col min="29" max="29" width="14.42578125" bestFit="1" customWidth="1"/>
    <col min="30" max="30" width="16.5703125" bestFit="1" customWidth="1"/>
    <col min="31" max="31" width="21" bestFit="1" customWidth="1"/>
    <col min="32" max="32" width="32.5703125" bestFit="1" customWidth="1"/>
  </cols>
  <sheetData>
    <row r="1" spans="1:32" x14ac:dyDescent="0.25">
      <c r="A1" s="36" t="s">
        <v>49</v>
      </c>
      <c r="B1" s="38" t="s">
        <v>51</v>
      </c>
      <c r="C1" s="39" t="s">
        <v>50</v>
      </c>
      <c r="D1" s="42" t="s">
        <v>96</v>
      </c>
      <c r="E1" s="44" t="s">
        <v>92</v>
      </c>
      <c r="F1" s="42" t="s">
        <v>9</v>
      </c>
      <c r="G1" s="42" t="s">
        <v>4</v>
      </c>
      <c r="H1" s="42" t="s">
        <v>64</v>
      </c>
      <c r="I1" s="43" t="s">
        <v>40</v>
      </c>
      <c r="J1" s="41" t="s">
        <v>35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X1" s="28"/>
    </row>
    <row r="2" spans="1:32" x14ac:dyDescent="0.25">
      <c r="A2" s="37"/>
      <c r="B2" s="37"/>
      <c r="C2" s="40"/>
      <c r="D2" s="42"/>
      <c r="E2" s="45"/>
      <c r="F2" s="42"/>
      <c r="G2" s="42"/>
      <c r="H2" s="42"/>
      <c r="I2" s="43"/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47" t="s">
        <v>127</v>
      </c>
      <c r="X2" s="29"/>
    </row>
    <row r="3" spans="1:32" ht="15.75" x14ac:dyDescent="0.25">
      <c r="A3" s="8">
        <v>0</v>
      </c>
      <c r="B3" s="8">
        <v>20.037500000000001</v>
      </c>
      <c r="C3" s="8">
        <v>85.113699999999994</v>
      </c>
      <c r="D3" s="8" t="s">
        <v>7</v>
      </c>
      <c r="E3" s="8" t="s">
        <v>93</v>
      </c>
      <c r="F3" s="8">
        <v>2</v>
      </c>
      <c r="G3" s="8">
        <v>224.24</v>
      </c>
      <c r="H3" s="8" t="s">
        <v>56</v>
      </c>
      <c r="I3" s="3">
        <f t="shared" ref="I3:I66" si="0">F3-$AC$20</f>
        <v>1.75</v>
      </c>
      <c r="J3" s="11">
        <f t="shared" ref="J3:J66" si="1">IF($I3-Z$24&lt;0, 0, ($I3-Z$24)*$G3)</f>
        <v>309.67544000000004</v>
      </c>
      <c r="K3" s="11">
        <f t="shared" ref="K3:K66" si="2">IF($I3-AA$24&lt;0, 0, ($I3-AA$24)*$G3)</f>
        <v>271.464944</v>
      </c>
      <c r="L3" s="11">
        <f t="shared" ref="L3:L66" si="3">IF($I3-AB$24&lt;0, 0, ($I3-AB$24)*$G3)</f>
        <v>227.06542400000001</v>
      </c>
      <c r="M3" s="11">
        <f t="shared" ref="M3:M66" si="4">IF($I3-AC$24&lt;0, 0, ($I3-AC$24)*$G3)</f>
        <v>181.11864800000001</v>
      </c>
      <c r="N3" s="11">
        <f t="shared" ref="N3:N66" si="5">IF($I3-AD$24&lt;0, 0, ($I3-AD$24)*$G3)</f>
        <v>127.43559200000001</v>
      </c>
      <c r="O3" s="11">
        <f t="shared" ref="O3:O66" si="6">IF($I3-AE$24&lt;0, 0, ($I3-AE$24)*$G3)</f>
        <v>127.43559200000001</v>
      </c>
      <c r="P3" s="11">
        <f t="shared" ref="P3:P66" si="7">IF($I3-AF$24&lt;0, 0, ($I3-AF$24)*$G3)</f>
        <v>392.42</v>
      </c>
      <c r="Q3" s="11">
        <f t="shared" ref="Q3:Q66" si="8">IF($I3-AG$24&lt;0, 0, ($I3-AG$24)*$G3)</f>
        <v>392.42</v>
      </c>
      <c r="R3" s="11">
        <f t="shared" ref="R3:R66" si="9">IF($I3-AH$24&lt;0, 0, ($I3-AH$24)*$G3)</f>
        <v>392.42</v>
      </c>
      <c r="S3" s="11">
        <f t="shared" ref="S3:S66" si="10">IF($I3-AI$24&lt;0, 0, ($I3-AI$24)*$G3)</f>
        <v>392.42</v>
      </c>
      <c r="T3" s="11">
        <f t="shared" ref="T3:T66" si="11">IF($I3-AJ$24&lt;0, 0, ($I3-AJ$24)*$G3)</f>
        <v>363.69485600000002</v>
      </c>
      <c r="U3" s="11">
        <f t="shared" ref="U3:U66" si="12">IF($I3-AK$24&lt;0, 0, ($I3-AK$24)*$G3)</f>
        <v>338.19876800000003</v>
      </c>
      <c r="V3" s="13">
        <f>MAX(J3:U3)</f>
        <v>392.42</v>
      </c>
      <c r="X3" s="30"/>
      <c r="Y3" s="9" t="s">
        <v>26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12" t="s">
        <v>39</v>
      </c>
      <c r="AF3" s="12" t="s">
        <v>95</v>
      </c>
    </row>
    <row r="4" spans="1:32" ht="15.75" x14ac:dyDescent="0.25">
      <c r="A4" s="8">
        <v>1</v>
      </c>
      <c r="B4" s="8">
        <v>20.0123</v>
      </c>
      <c r="C4" s="8">
        <v>85.082499999999996</v>
      </c>
      <c r="D4" s="8" t="s">
        <v>7</v>
      </c>
      <c r="E4" s="8" t="s">
        <v>93</v>
      </c>
      <c r="F4" s="8">
        <v>2</v>
      </c>
      <c r="G4" s="8">
        <v>240.41</v>
      </c>
      <c r="H4" s="8" t="s">
        <v>63</v>
      </c>
      <c r="I4" s="3">
        <f t="shared" si="0"/>
        <v>1.75</v>
      </c>
      <c r="J4" s="11">
        <f t="shared" si="1"/>
        <v>332.00621000000001</v>
      </c>
      <c r="K4" s="11">
        <f t="shared" si="2"/>
        <v>291.040346</v>
      </c>
      <c r="L4" s="11">
        <f t="shared" si="3"/>
        <v>243.43916599999997</v>
      </c>
      <c r="M4" s="11">
        <f t="shared" si="4"/>
        <v>194.179157</v>
      </c>
      <c r="N4" s="11">
        <f t="shared" si="5"/>
        <v>136.62500299999999</v>
      </c>
      <c r="O4" s="11">
        <f t="shared" si="6"/>
        <v>136.62500299999999</v>
      </c>
      <c r="P4" s="11">
        <f t="shared" si="7"/>
        <v>420.71749999999997</v>
      </c>
      <c r="Q4" s="11">
        <f t="shared" si="8"/>
        <v>420.71749999999997</v>
      </c>
      <c r="R4" s="11">
        <f t="shared" si="9"/>
        <v>420.71749999999997</v>
      </c>
      <c r="S4" s="11">
        <f t="shared" si="10"/>
        <v>420.71749999999997</v>
      </c>
      <c r="T4" s="11">
        <f t="shared" si="11"/>
        <v>389.92097900000005</v>
      </c>
      <c r="U4" s="11">
        <f t="shared" si="12"/>
        <v>362.58636200000001</v>
      </c>
      <c r="V4" s="13">
        <f t="shared" ref="V4:V67" si="13">MAX(J4:U4)</f>
        <v>420.71749999999997</v>
      </c>
      <c r="X4" s="30"/>
      <c r="Y4" s="9" t="s">
        <v>14</v>
      </c>
      <c r="Z4" s="9" t="s">
        <v>32</v>
      </c>
      <c r="AA4" s="9">
        <v>2.2400000000000002</v>
      </c>
      <c r="AB4" s="9">
        <v>2</v>
      </c>
      <c r="AC4" s="9">
        <f>AA4+AB4</f>
        <v>4.24</v>
      </c>
      <c r="AD4" s="9">
        <f>AC4*30</f>
        <v>127.2</v>
      </c>
      <c r="AE4" s="11">
        <f>AD4/1000</f>
        <v>0.12720000000000001</v>
      </c>
      <c r="AF4" s="11">
        <f>AF15+AE4</f>
        <v>0.36899999999999999</v>
      </c>
    </row>
    <row r="5" spans="1:32" ht="15.75" x14ac:dyDescent="0.25">
      <c r="A5" s="8">
        <v>2</v>
      </c>
      <c r="B5" s="8">
        <v>20.0379</v>
      </c>
      <c r="C5" s="8">
        <v>85.113399999999999</v>
      </c>
      <c r="D5" s="8" t="s">
        <v>7</v>
      </c>
      <c r="E5" s="8" t="s">
        <v>93</v>
      </c>
      <c r="F5" s="8">
        <v>2</v>
      </c>
      <c r="G5" s="8">
        <v>402.31</v>
      </c>
      <c r="H5" s="8" t="s">
        <v>56</v>
      </c>
      <c r="I5" s="3">
        <f t="shared" si="0"/>
        <v>1.75</v>
      </c>
      <c r="J5" s="11">
        <f t="shared" si="1"/>
        <v>555.59010999999998</v>
      </c>
      <c r="K5" s="11">
        <f t="shared" si="2"/>
        <v>487.03648599999997</v>
      </c>
      <c r="L5" s="11">
        <f t="shared" si="3"/>
        <v>407.37910599999998</v>
      </c>
      <c r="M5" s="11">
        <f t="shared" si="4"/>
        <v>324.945787</v>
      </c>
      <c r="N5" s="11">
        <f t="shared" si="5"/>
        <v>228.63277300000001</v>
      </c>
      <c r="O5" s="11">
        <f t="shared" si="6"/>
        <v>228.63277300000001</v>
      </c>
      <c r="P5" s="11">
        <f t="shared" si="7"/>
        <v>704.04250000000002</v>
      </c>
      <c r="Q5" s="11">
        <f t="shared" si="8"/>
        <v>704.04250000000002</v>
      </c>
      <c r="R5" s="11">
        <f t="shared" si="9"/>
        <v>704.04250000000002</v>
      </c>
      <c r="S5" s="11">
        <f t="shared" si="10"/>
        <v>704.04250000000002</v>
      </c>
      <c r="T5" s="11">
        <f t="shared" si="11"/>
        <v>652.50658900000008</v>
      </c>
      <c r="U5" s="11">
        <f t="shared" si="12"/>
        <v>606.76394200000004</v>
      </c>
      <c r="V5" s="13">
        <f t="shared" si="13"/>
        <v>704.04250000000002</v>
      </c>
      <c r="X5" s="30"/>
      <c r="Y5" s="9" t="s">
        <v>15</v>
      </c>
      <c r="Z5" s="9" t="s">
        <v>32</v>
      </c>
      <c r="AA5" s="9">
        <v>3.68</v>
      </c>
      <c r="AB5" s="9">
        <v>2</v>
      </c>
      <c r="AC5" s="9">
        <f t="shared" ref="AC5:AC15" si="14">AA5+AB5</f>
        <v>5.68</v>
      </c>
      <c r="AD5" s="9">
        <f t="shared" ref="AD5:AD9" si="15">AC5*30</f>
        <v>170.39999999999998</v>
      </c>
      <c r="AE5" s="11">
        <f t="shared" ref="AE5:AE15" si="16">AD5/1000</f>
        <v>0.17039999999999997</v>
      </c>
      <c r="AF5" s="11">
        <f>AF4+AE5</f>
        <v>0.53939999999999999</v>
      </c>
    </row>
    <row r="6" spans="1:32" ht="15.75" x14ac:dyDescent="0.25">
      <c r="A6" s="8">
        <v>3</v>
      </c>
      <c r="B6" s="8">
        <v>20.0108</v>
      </c>
      <c r="C6" s="8">
        <v>85.082499999999996</v>
      </c>
      <c r="D6" s="8" t="s">
        <v>7</v>
      </c>
      <c r="E6" s="8" t="s">
        <v>93</v>
      </c>
      <c r="F6" s="8">
        <v>3</v>
      </c>
      <c r="G6" s="8">
        <v>2124.0100000000002</v>
      </c>
      <c r="H6" s="8" t="s">
        <v>63</v>
      </c>
      <c r="I6" s="3">
        <f t="shared" si="0"/>
        <v>2.75</v>
      </c>
      <c r="J6" s="11">
        <f t="shared" si="1"/>
        <v>5057.2678100000012</v>
      </c>
      <c r="K6" s="11">
        <f t="shared" si="2"/>
        <v>4695.3365060000006</v>
      </c>
      <c r="L6" s="11">
        <f t="shared" si="3"/>
        <v>4274.782526</v>
      </c>
      <c r="M6" s="11">
        <f t="shared" si="4"/>
        <v>3839.5728770000005</v>
      </c>
      <c r="N6" s="11">
        <f t="shared" si="5"/>
        <v>3331.0848830000004</v>
      </c>
      <c r="O6" s="11">
        <f t="shared" si="6"/>
        <v>3331.0848830000004</v>
      </c>
      <c r="P6" s="11">
        <f t="shared" si="7"/>
        <v>5841.0275000000001</v>
      </c>
      <c r="Q6" s="11">
        <f t="shared" si="8"/>
        <v>5841.0275000000001</v>
      </c>
      <c r="R6" s="11">
        <f t="shared" si="9"/>
        <v>5841.0275000000001</v>
      </c>
      <c r="S6" s="11">
        <f t="shared" si="10"/>
        <v>5841.0275000000001</v>
      </c>
      <c r="T6" s="11">
        <f t="shared" si="11"/>
        <v>5568.9418190000006</v>
      </c>
      <c r="U6" s="11">
        <f t="shared" si="12"/>
        <v>5327.4418820000001</v>
      </c>
      <c r="V6" s="13">
        <f t="shared" si="13"/>
        <v>5841.0275000000001</v>
      </c>
      <c r="X6" s="30"/>
      <c r="Y6" s="9" t="s">
        <v>16</v>
      </c>
      <c r="Z6" s="9" t="s">
        <v>33</v>
      </c>
      <c r="AA6" s="9">
        <v>4.5999999999999996</v>
      </c>
      <c r="AB6" s="9">
        <v>2</v>
      </c>
      <c r="AC6" s="9">
        <f t="shared" si="14"/>
        <v>6.6</v>
      </c>
      <c r="AD6" s="9">
        <f t="shared" si="15"/>
        <v>198</v>
      </c>
      <c r="AE6" s="11">
        <f t="shared" si="16"/>
        <v>0.19800000000000001</v>
      </c>
      <c r="AF6" s="11">
        <f>AF5+AE6</f>
        <v>0.73740000000000006</v>
      </c>
    </row>
    <row r="7" spans="1:32" ht="15.75" x14ac:dyDescent="0.25">
      <c r="A7" s="8">
        <v>4</v>
      </c>
      <c r="B7" s="8">
        <v>20.038499999999999</v>
      </c>
      <c r="C7" s="8">
        <v>85.113500000000002</v>
      </c>
      <c r="D7" s="8" t="s">
        <v>7</v>
      </c>
      <c r="E7" s="8" t="s">
        <v>93</v>
      </c>
      <c r="F7" s="8">
        <v>2</v>
      </c>
      <c r="G7" s="8">
        <v>245.48</v>
      </c>
      <c r="H7" s="8" t="s">
        <v>56</v>
      </c>
      <c r="I7" s="3">
        <f t="shared" si="0"/>
        <v>1.75</v>
      </c>
      <c r="J7" s="11">
        <f t="shared" si="1"/>
        <v>339.00788</v>
      </c>
      <c r="K7" s="11">
        <f t="shared" si="2"/>
        <v>297.17808799999995</v>
      </c>
      <c r="L7" s="11">
        <f t="shared" si="3"/>
        <v>248.57304799999997</v>
      </c>
      <c r="M7" s="11">
        <f t="shared" si="4"/>
        <v>198.27419599999999</v>
      </c>
      <c r="N7" s="11">
        <f t="shared" si="5"/>
        <v>139.50628399999999</v>
      </c>
      <c r="O7" s="11">
        <f t="shared" si="6"/>
        <v>139.50628399999999</v>
      </c>
      <c r="P7" s="11">
        <f t="shared" si="7"/>
        <v>429.59</v>
      </c>
      <c r="Q7" s="11">
        <f t="shared" si="8"/>
        <v>429.59</v>
      </c>
      <c r="R7" s="11">
        <f t="shared" si="9"/>
        <v>429.59</v>
      </c>
      <c r="S7" s="11">
        <f t="shared" si="10"/>
        <v>429.59</v>
      </c>
      <c r="T7" s="11">
        <f t="shared" si="11"/>
        <v>398.14401200000003</v>
      </c>
      <c r="U7" s="11">
        <f t="shared" si="12"/>
        <v>370.232936</v>
      </c>
      <c r="V7" s="13">
        <f t="shared" si="13"/>
        <v>429.59</v>
      </c>
      <c r="X7" s="30"/>
      <c r="Y7" s="9" t="s">
        <v>17</v>
      </c>
      <c r="Z7" s="9" t="s">
        <v>33</v>
      </c>
      <c r="AA7" s="9">
        <v>4.83</v>
      </c>
      <c r="AB7" s="9">
        <v>2</v>
      </c>
      <c r="AC7" s="9">
        <f t="shared" si="14"/>
        <v>6.83</v>
      </c>
      <c r="AD7" s="9">
        <f t="shared" si="15"/>
        <v>204.9</v>
      </c>
      <c r="AE7" s="11">
        <f t="shared" si="16"/>
        <v>0.2049</v>
      </c>
      <c r="AF7" s="11">
        <f>AF6+AE7</f>
        <v>0.94230000000000003</v>
      </c>
    </row>
    <row r="8" spans="1:32" ht="15.75" x14ac:dyDescent="0.25">
      <c r="A8" s="8">
        <v>5</v>
      </c>
      <c r="B8" s="8">
        <v>20.039100000000001</v>
      </c>
      <c r="C8" s="8">
        <v>85.113500000000002</v>
      </c>
      <c r="D8" s="8" t="s">
        <v>7</v>
      </c>
      <c r="E8" s="8" t="s">
        <v>93</v>
      </c>
      <c r="F8" s="8">
        <v>2</v>
      </c>
      <c r="G8" s="8">
        <v>295.2</v>
      </c>
      <c r="H8" s="8" t="s">
        <v>56</v>
      </c>
      <c r="I8" s="3">
        <f t="shared" si="0"/>
        <v>1.75</v>
      </c>
      <c r="J8" s="11">
        <f t="shared" si="1"/>
        <v>407.6712</v>
      </c>
      <c r="K8" s="11">
        <f t="shared" si="2"/>
        <v>357.36911999999995</v>
      </c>
      <c r="L8" s="11">
        <f t="shared" si="3"/>
        <v>298.91951999999998</v>
      </c>
      <c r="M8" s="11">
        <f t="shared" si="4"/>
        <v>238.43303999999998</v>
      </c>
      <c r="N8" s="11">
        <f t="shared" si="5"/>
        <v>167.76215999999999</v>
      </c>
      <c r="O8" s="11">
        <f t="shared" si="6"/>
        <v>167.76215999999999</v>
      </c>
      <c r="P8" s="11">
        <f t="shared" si="7"/>
        <v>516.6</v>
      </c>
      <c r="Q8" s="11">
        <f t="shared" si="8"/>
        <v>516.6</v>
      </c>
      <c r="R8" s="11">
        <f t="shared" si="9"/>
        <v>516.6</v>
      </c>
      <c r="S8" s="11">
        <f t="shared" si="10"/>
        <v>516.6</v>
      </c>
      <c r="T8" s="11">
        <f t="shared" si="11"/>
        <v>478.78488000000004</v>
      </c>
      <c r="U8" s="11">
        <f t="shared" si="12"/>
        <v>445.22064</v>
      </c>
      <c r="V8" s="13">
        <f t="shared" si="13"/>
        <v>516.6</v>
      </c>
      <c r="X8" s="30"/>
      <c r="Y8" s="9" t="s">
        <v>18</v>
      </c>
      <c r="Z8" s="9" t="s">
        <v>33</v>
      </c>
      <c r="AA8" s="9">
        <v>5.98</v>
      </c>
      <c r="AB8" s="9">
        <v>2</v>
      </c>
      <c r="AC8" s="9">
        <f t="shared" si="14"/>
        <v>7.98</v>
      </c>
      <c r="AD8" s="9">
        <f t="shared" si="15"/>
        <v>239.4</v>
      </c>
      <c r="AE8" s="11">
        <f t="shared" si="16"/>
        <v>0.2394</v>
      </c>
      <c r="AF8" s="11">
        <f>AF7+AE8</f>
        <v>1.1817</v>
      </c>
    </row>
    <row r="9" spans="1:32" ht="15.75" x14ac:dyDescent="0.25">
      <c r="A9" s="8">
        <v>6</v>
      </c>
      <c r="B9" s="8">
        <v>20.031500000000001</v>
      </c>
      <c r="C9" s="8">
        <v>85.100999999999999</v>
      </c>
      <c r="D9" s="8" t="s">
        <v>7</v>
      </c>
      <c r="E9" s="8" t="s">
        <v>93</v>
      </c>
      <c r="F9" s="8">
        <v>2</v>
      </c>
      <c r="G9" s="8">
        <v>101.13</v>
      </c>
      <c r="H9" s="8" t="s">
        <v>56</v>
      </c>
      <c r="I9" s="3">
        <f t="shared" si="0"/>
        <v>1.75</v>
      </c>
      <c r="J9" s="11">
        <f t="shared" si="1"/>
        <v>139.66052999999999</v>
      </c>
      <c r="K9" s="11">
        <f t="shared" si="2"/>
        <v>122.42797799999998</v>
      </c>
      <c r="L9" s="11">
        <f t="shared" si="3"/>
        <v>102.40423799999999</v>
      </c>
      <c r="M9" s="11">
        <f t="shared" si="4"/>
        <v>81.682700999999994</v>
      </c>
      <c r="N9" s="11">
        <f t="shared" si="5"/>
        <v>57.472178999999997</v>
      </c>
      <c r="O9" s="11">
        <f t="shared" si="6"/>
        <v>57.472178999999997</v>
      </c>
      <c r="P9" s="11">
        <f t="shared" si="7"/>
        <v>176.97749999999999</v>
      </c>
      <c r="Q9" s="11">
        <f t="shared" si="8"/>
        <v>176.97749999999999</v>
      </c>
      <c r="R9" s="11">
        <f t="shared" si="9"/>
        <v>176.97749999999999</v>
      </c>
      <c r="S9" s="11">
        <f t="shared" si="10"/>
        <v>176.97749999999999</v>
      </c>
      <c r="T9" s="11">
        <f t="shared" si="11"/>
        <v>164.02274700000001</v>
      </c>
      <c r="U9" s="11">
        <f t="shared" si="12"/>
        <v>152.52426599999998</v>
      </c>
      <c r="V9" s="13">
        <f t="shared" si="13"/>
        <v>176.97749999999999</v>
      </c>
      <c r="X9" s="30"/>
      <c r="Y9" s="9" t="s">
        <v>19</v>
      </c>
      <c r="Z9" s="9" t="s">
        <v>34</v>
      </c>
      <c r="AA9" s="12">
        <v>3.98</v>
      </c>
      <c r="AB9" s="12">
        <v>2</v>
      </c>
      <c r="AC9" s="12">
        <f t="shared" si="14"/>
        <v>5.98</v>
      </c>
      <c r="AD9" s="12">
        <f t="shared" si="15"/>
        <v>179.4</v>
      </c>
      <c r="AE9" s="35">
        <v>0</v>
      </c>
      <c r="AF9" s="11">
        <f>AF8+AE9</f>
        <v>1.1817</v>
      </c>
    </row>
    <row r="10" spans="1:32" ht="15.75" x14ac:dyDescent="0.25">
      <c r="A10" s="8">
        <v>7</v>
      </c>
      <c r="B10" s="8">
        <v>20.0379</v>
      </c>
      <c r="C10" s="8">
        <v>84.966999999999999</v>
      </c>
      <c r="D10" s="8" t="s">
        <v>7</v>
      </c>
      <c r="E10" s="8" t="s">
        <v>93</v>
      </c>
      <c r="F10" s="8">
        <v>2</v>
      </c>
      <c r="G10" s="8">
        <v>325.86</v>
      </c>
      <c r="H10" s="8" t="s">
        <v>126</v>
      </c>
      <c r="I10" s="3">
        <f t="shared" si="0"/>
        <v>1.75</v>
      </c>
      <c r="J10" s="11">
        <f t="shared" si="1"/>
        <v>450.01266000000004</v>
      </c>
      <c r="K10" s="11">
        <f t="shared" si="2"/>
        <v>394.48611599999998</v>
      </c>
      <c r="L10" s="11">
        <f t="shared" si="3"/>
        <v>329.96583599999997</v>
      </c>
      <c r="M10" s="11">
        <f t="shared" si="4"/>
        <v>263.19712199999998</v>
      </c>
      <c r="N10" s="11">
        <f t="shared" si="5"/>
        <v>185.186238</v>
      </c>
      <c r="O10" s="11">
        <f t="shared" si="6"/>
        <v>185.186238</v>
      </c>
      <c r="P10" s="11">
        <f t="shared" si="7"/>
        <v>570.255</v>
      </c>
      <c r="Q10" s="11">
        <f t="shared" si="8"/>
        <v>570.255</v>
      </c>
      <c r="R10" s="11">
        <f t="shared" si="9"/>
        <v>570.255</v>
      </c>
      <c r="S10" s="11">
        <f t="shared" si="10"/>
        <v>570.255</v>
      </c>
      <c r="T10" s="11">
        <f t="shared" si="11"/>
        <v>528.51233400000001</v>
      </c>
      <c r="U10" s="11">
        <f t="shared" si="12"/>
        <v>491.46205200000003</v>
      </c>
      <c r="V10" s="13">
        <f t="shared" si="13"/>
        <v>570.255</v>
      </c>
      <c r="X10" s="30"/>
      <c r="Y10" s="9" t="s">
        <v>20</v>
      </c>
      <c r="Z10" s="9" t="s">
        <v>34</v>
      </c>
      <c r="AA10" s="10"/>
      <c r="AB10" s="10"/>
      <c r="AC10" s="10"/>
      <c r="AD10" s="10"/>
      <c r="AE10" s="16">
        <v>0</v>
      </c>
      <c r="AF10" s="18">
        <v>0</v>
      </c>
    </row>
    <row r="11" spans="1:32" ht="15.75" x14ac:dyDescent="0.25">
      <c r="A11" s="8">
        <v>8</v>
      </c>
      <c r="B11" s="8">
        <v>20.0457</v>
      </c>
      <c r="C11" s="8">
        <v>85.031300000000002</v>
      </c>
      <c r="D11" s="8" t="s">
        <v>7</v>
      </c>
      <c r="E11" s="8" t="s">
        <v>93</v>
      </c>
      <c r="F11" s="8">
        <v>2</v>
      </c>
      <c r="G11" s="8">
        <v>830.15</v>
      </c>
      <c r="H11" s="8" t="s">
        <v>62</v>
      </c>
      <c r="I11" s="3">
        <f t="shared" si="0"/>
        <v>1.75</v>
      </c>
      <c r="J11" s="11">
        <f t="shared" si="1"/>
        <v>1146.43715</v>
      </c>
      <c r="K11" s="11">
        <f t="shared" si="2"/>
        <v>1004.9795899999999</v>
      </c>
      <c r="L11" s="11">
        <f t="shared" si="3"/>
        <v>840.60988999999995</v>
      </c>
      <c r="M11" s="11">
        <f t="shared" si="4"/>
        <v>670.51215500000001</v>
      </c>
      <c r="N11" s="11">
        <f t="shared" si="5"/>
        <v>471.77424500000001</v>
      </c>
      <c r="O11" s="11">
        <f t="shared" si="6"/>
        <v>471.77424500000001</v>
      </c>
      <c r="P11" s="11">
        <f t="shared" si="7"/>
        <v>1452.7625</v>
      </c>
      <c r="Q11" s="11">
        <f t="shared" si="8"/>
        <v>1452.7625</v>
      </c>
      <c r="R11" s="11">
        <f t="shared" si="9"/>
        <v>1452.7625</v>
      </c>
      <c r="S11" s="11">
        <f t="shared" si="10"/>
        <v>1452.7625</v>
      </c>
      <c r="T11" s="11">
        <f t="shared" si="11"/>
        <v>1346.4202850000001</v>
      </c>
      <c r="U11" s="11">
        <f t="shared" si="12"/>
        <v>1252.03223</v>
      </c>
      <c r="V11" s="13">
        <f t="shared" si="13"/>
        <v>1452.7625</v>
      </c>
      <c r="X11" s="30"/>
      <c r="Y11" s="9" t="s">
        <v>21</v>
      </c>
      <c r="Z11" s="9" t="s">
        <v>34</v>
      </c>
      <c r="AA11" s="10"/>
      <c r="AB11" s="10"/>
      <c r="AC11" s="10"/>
      <c r="AD11" s="10"/>
      <c r="AE11" s="16">
        <v>0</v>
      </c>
      <c r="AF11" s="18">
        <v>0</v>
      </c>
    </row>
    <row r="12" spans="1:32" ht="15.75" x14ac:dyDescent="0.25">
      <c r="A12" s="8">
        <v>9</v>
      </c>
      <c r="B12" s="8">
        <v>20.0091</v>
      </c>
      <c r="C12" s="8">
        <v>85.007599999999996</v>
      </c>
      <c r="D12" s="8" t="s">
        <v>7</v>
      </c>
      <c r="E12" s="8" t="s">
        <v>93</v>
      </c>
      <c r="F12" s="8">
        <v>3</v>
      </c>
      <c r="G12" s="8">
        <v>857.31</v>
      </c>
      <c r="H12" s="8" t="s">
        <v>60</v>
      </c>
      <c r="I12" s="3">
        <f t="shared" si="0"/>
        <v>2.75</v>
      </c>
      <c r="J12" s="11">
        <f t="shared" si="1"/>
        <v>2041.2551100000001</v>
      </c>
      <c r="K12" s="11">
        <f t="shared" si="2"/>
        <v>1895.1694859999998</v>
      </c>
      <c r="L12" s="11">
        <f t="shared" si="3"/>
        <v>1725.4221059999998</v>
      </c>
      <c r="M12" s="11">
        <f t="shared" si="4"/>
        <v>1549.7592870000001</v>
      </c>
      <c r="N12" s="11">
        <f t="shared" si="5"/>
        <v>1344.5192729999999</v>
      </c>
      <c r="O12" s="11">
        <f t="shared" si="6"/>
        <v>1344.5192729999999</v>
      </c>
      <c r="P12" s="11">
        <f t="shared" si="7"/>
        <v>2357.6025</v>
      </c>
      <c r="Q12" s="11">
        <f t="shared" si="8"/>
        <v>2357.6025</v>
      </c>
      <c r="R12" s="11">
        <f t="shared" si="9"/>
        <v>2357.6025</v>
      </c>
      <c r="S12" s="11">
        <f t="shared" si="10"/>
        <v>2357.6025</v>
      </c>
      <c r="T12" s="11">
        <f t="shared" si="11"/>
        <v>2247.7810890000001</v>
      </c>
      <c r="U12" s="11">
        <f t="shared" si="12"/>
        <v>2150.3049419999998</v>
      </c>
      <c r="V12" s="13">
        <f t="shared" si="13"/>
        <v>2357.6025</v>
      </c>
      <c r="X12" s="30"/>
      <c r="Y12" s="9" t="s">
        <v>22</v>
      </c>
      <c r="Z12" s="9" t="s">
        <v>34</v>
      </c>
      <c r="AA12" s="10"/>
      <c r="AB12" s="10"/>
      <c r="AC12" s="10"/>
      <c r="AD12" s="10"/>
      <c r="AE12" s="16">
        <v>0</v>
      </c>
      <c r="AF12" s="18">
        <v>0</v>
      </c>
    </row>
    <row r="13" spans="1:32" ht="15.75" x14ac:dyDescent="0.25">
      <c r="A13" s="8">
        <v>10</v>
      </c>
      <c r="B13" s="8">
        <v>20.034099999999999</v>
      </c>
      <c r="C13" s="8">
        <v>84.966700000000003</v>
      </c>
      <c r="D13" s="8" t="s">
        <v>7</v>
      </c>
      <c r="E13" s="8" t="s">
        <v>93</v>
      </c>
      <c r="F13" s="8">
        <v>3</v>
      </c>
      <c r="G13" s="8">
        <v>4729.47</v>
      </c>
      <c r="H13" s="8" t="s">
        <v>126</v>
      </c>
      <c r="I13" s="3">
        <f t="shared" si="0"/>
        <v>2.75</v>
      </c>
      <c r="J13" s="11">
        <f t="shared" si="1"/>
        <v>11260.868070000002</v>
      </c>
      <c r="K13" s="11">
        <f t="shared" si="2"/>
        <v>10454.966382000001</v>
      </c>
      <c r="L13" s="11">
        <f t="shared" si="3"/>
        <v>9518.5313220000007</v>
      </c>
      <c r="M13" s="11">
        <f t="shared" si="4"/>
        <v>8549.4629190000014</v>
      </c>
      <c r="N13" s="11">
        <f t="shared" si="5"/>
        <v>7417.2278010000009</v>
      </c>
      <c r="O13" s="11">
        <f t="shared" si="6"/>
        <v>7417.2278010000009</v>
      </c>
      <c r="P13" s="11">
        <f t="shared" si="7"/>
        <v>13006.042500000001</v>
      </c>
      <c r="Q13" s="11">
        <f t="shared" si="8"/>
        <v>13006.042500000001</v>
      </c>
      <c r="R13" s="11">
        <f t="shared" si="9"/>
        <v>13006.042500000001</v>
      </c>
      <c r="S13" s="11">
        <f t="shared" si="10"/>
        <v>13006.042500000001</v>
      </c>
      <c r="T13" s="11">
        <f t="shared" si="11"/>
        <v>12400.197393</v>
      </c>
      <c r="U13" s="11">
        <f t="shared" si="12"/>
        <v>11862.456654000001</v>
      </c>
      <c r="V13" s="13">
        <f t="shared" si="13"/>
        <v>13006.042500000001</v>
      </c>
      <c r="X13" s="30"/>
      <c r="Y13" s="9" t="s">
        <v>23</v>
      </c>
      <c r="Z13" s="9" t="s">
        <v>34</v>
      </c>
      <c r="AA13" s="10"/>
      <c r="AB13" s="10"/>
      <c r="AC13" s="10"/>
      <c r="AD13" s="10"/>
      <c r="AE13" s="16">
        <v>0</v>
      </c>
      <c r="AF13" s="18">
        <v>0</v>
      </c>
    </row>
    <row r="14" spans="1:32" ht="15.75" x14ac:dyDescent="0.25">
      <c r="A14" s="8">
        <v>11</v>
      </c>
      <c r="B14" s="8">
        <v>20.0168</v>
      </c>
      <c r="C14" s="8">
        <v>84.989800000000002</v>
      </c>
      <c r="D14" s="8" t="s">
        <v>7</v>
      </c>
      <c r="E14" s="8" t="s">
        <v>93</v>
      </c>
      <c r="F14" s="8">
        <v>3</v>
      </c>
      <c r="G14" s="8">
        <v>2642.2</v>
      </c>
      <c r="H14" s="8" t="s">
        <v>57</v>
      </c>
      <c r="I14" s="3">
        <f t="shared" si="0"/>
        <v>2.75</v>
      </c>
      <c r="J14" s="11">
        <f t="shared" si="1"/>
        <v>6291.0781999999999</v>
      </c>
      <c r="K14" s="11">
        <f t="shared" si="2"/>
        <v>5840.8473199999989</v>
      </c>
      <c r="L14" s="11">
        <f t="shared" si="3"/>
        <v>5317.6917199999998</v>
      </c>
      <c r="M14" s="11">
        <f t="shared" si="4"/>
        <v>4776.30494</v>
      </c>
      <c r="N14" s="11">
        <f t="shared" si="5"/>
        <v>4143.7622599999995</v>
      </c>
      <c r="O14" s="11">
        <f t="shared" si="6"/>
        <v>4143.7622599999995</v>
      </c>
      <c r="P14" s="11">
        <f t="shared" si="7"/>
        <v>7266.0499999999993</v>
      </c>
      <c r="Q14" s="11">
        <f t="shared" si="8"/>
        <v>7266.0499999999993</v>
      </c>
      <c r="R14" s="11">
        <f t="shared" si="9"/>
        <v>7266.0499999999993</v>
      </c>
      <c r="S14" s="11">
        <f t="shared" si="10"/>
        <v>7266.0499999999993</v>
      </c>
      <c r="T14" s="11">
        <f t="shared" si="11"/>
        <v>6927.5841799999998</v>
      </c>
      <c r="U14" s="11">
        <f t="shared" si="12"/>
        <v>6627.1660399999992</v>
      </c>
      <c r="V14" s="13">
        <f t="shared" si="13"/>
        <v>7266.0499999999993</v>
      </c>
      <c r="X14" s="30"/>
      <c r="Y14" s="9" t="s">
        <v>24</v>
      </c>
      <c r="Z14" s="9" t="s">
        <v>32</v>
      </c>
      <c r="AA14" s="9">
        <v>2.27</v>
      </c>
      <c r="AB14" s="9">
        <v>2</v>
      </c>
      <c r="AC14" s="9">
        <f t="shared" si="14"/>
        <v>4.2699999999999996</v>
      </c>
      <c r="AD14" s="9">
        <f>AC14*30</f>
        <v>128.1</v>
      </c>
      <c r="AE14" s="11">
        <f t="shared" si="16"/>
        <v>0.12809999999999999</v>
      </c>
      <c r="AF14" s="11">
        <f>AE14</f>
        <v>0.12809999999999999</v>
      </c>
    </row>
    <row r="15" spans="1:32" ht="15.75" x14ac:dyDescent="0.25">
      <c r="A15" s="8">
        <v>12</v>
      </c>
      <c r="B15" s="8">
        <v>20.018899999999999</v>
      </c>
      <c r="C15" s="8">
        <v>84.9893</v>
      </c>
      <c r="D15" s="8" t="s">
        <v>7</v>
      </c>
      <c r="E15" s="8" t="s">
        <v>93</v>
      </c>
      <c r="F15" s="8">
        <v>2</v>
      </c>
      <c r="G15" s="8">
        <v>465.72</v>
      </c>
      <c r="H15" s="8" t="s">
        <v>57</v>
      </c>
      <c r="I15" s="3">
        <f t="shared" si="0"/>
        <v>1.75</v>
      </c>
      <c r="J15" s="11">
        <f t="shared" si="1"/>
        <v>643.15932000000009</v>
      </c>
      <c r="K15" s="11">
        <f t="shared" si="2"/>
        <v>563.80063199999995</v>
      </c>
      <c r="L15" s="11">
        <f t="shared" si="3"/>
        <v>471.58807200000001</v>
      </c>
      <c r="M15" s="11">
        <f t="shared" si="4"/>
        <v>376.16204400000004</v>
      </c>
      <c r="N15" s="11">
        <f t="shared" si="5"/>
        <v>264.668676</v>
      </c>
      <c r="O15" s="11">
        <f t="shared" si="6"/>
        <v>264.668676</v>
      </c>
      <c r="P15" s="11">
        <f t="shared" si="7"/>
        <v>815.01</v>
      </c>
      <c r="Q15" s="11">
        <f t="shared" si="8"/>
        <v>815.01</v>
      </c>
      <c r="R15" s="11">
        <f t="shared" si="9"/>
        <v>815.01</v>
      </c>
      <c r="S15" s="11">
        <f t="shared" si="10"/>
        <v>815.01</v>
      </c>
      <c r="T15" s="11">
        <f t="shared" si="11"/>
        <v>755.35126800000012</v>
      </c>
      <c r="U15" s="11">
        <f t="shared" si="12"/>
        <v>702.39890400000002</v>
      </c>
      <c r="V15" s="13">
        <f t="shared" si="13"/>
        <v>815.01</v>
      </c>
      <c r="X15" s="30"/>
      <c r="Y15" s="9" t="s">
        <v>25</v>
      </c>
      <c r="Z15" s="9" t="s">
        <v>32</v>
      </c>
      <c r="AA15" s="9">
        <v>1.79</v>
      </c>
      <c r="AB15" s="9">
        <v>2</v>
      </c>
      <c r="AC15" s="9">
        <f t="shared" si="14"/>
        <v>3.79</v>
      </c>
      <c r="AD15" s="9">
        <f t="shared" ref="AD15" si="17">AC15*30</f>
        <v>113.7</v>
      </c>
      <c r="AE15" s="11">
        <f t="shared" si="16"/>
        <v>0.11370000000000001</v>
      </c>
      <c r="AF15" s="11">
        <f>AE14+AE15</f>
        <v>0.24180000000000001</v>
      </c>
    </row>
    <row r="16" spans="1:32" x14ac:dyDescent="0.25">
      <c r="A16" s="8">
        <v>13</v>
      </c>
      <c r="B16" s="8">
        <v>20.0229</v>
      </c>
      <c r="C16" s="8">
        <v>84.9846</v>
      </c>
      <c r="D16" s="8" t="s">
        <v>7</v>
      </c>
      <c r="E16" s="8" t="s">
        <v>93</v>
      </c>
      <c r="F16" s="8">
        <v>4</v>
      </c>
      <c r="G16" s="8">
        <v>14807.55</v>
      </c>
      <c r="H16" s="8" t="s">
        <v>57</v>
      </c>
      <c r="I16" s="3">
        <f t="shared" si="0"/>
        <v>3.75</v>
      </c>
      <c r="J16" s="11">
        <f t="shared" si="1"/>
        <v>50064.326549999998</v>
      </c>
      <c r="K16" s="11">
        <f t="shared" si="2"/>
        <v>47541.120029999998</v>
      </c>
      <c r="L16" s="11">
        <f t="shared" si="3"/>
        <v>44609.225129999999</v>
      </c>
      <c r="M16" s="11">
        <f t="shared" si="4"/>
        <v>41575.158134999998</v>
      </c>
      <c r="N16" s="11">
        <f t="shared" si="5"/>
        <v>38030.230664999995</v>
      </c>
      <c r="O16" s="11">
        <f t="shared" si="6"/>
        <v>38030.230664999995</v>
      </c>
      <c r="P16" s="11">
        <f t="shared" si="7"/>
        <v>55528.3125</v>
      </c>
      <c r="Q16" s="11">
        <f t="shared" si="8"/>
        <v>55528.3125</v>
      </c>
      <c r="R16" s="11">
        <f t="shared" si="9"/>
        <v>55528.3125</v>
      </c>
      <c r="S16" s="11">
        <f t="shared" si="10"/>
        <v>55528.3125</v>
      </c>
      <c r="T16" s="11">
        <f t="shared" si="11"/>
        <v>53631.465344999997</v>
      </c>
      <c r="U16" s="11">
        <f t="shared" si="12"/>
        <v>51947.84691</v>
      </c>
      <c r="V16" s="13">
        <f t="shared" si="13"/>
        <v>55528.3125</v>
      </c>
      <c r="X16" s="30"/>
    </row>
    <row r="17" spans="1:37" x14ac:dyDescent="0.25">
      <c r="A17" s="8">
        <v>14</v>
      </c>
      <c r="B17" s="8">
        <v>20.0242</v>
      </c>
      <c r="C17" s="8">
        <v>84.9833</v>
      </c>
      <c r="D17" s="8" t="s">
        <v>7</v>
      </c>
      <c r="E17" s="8" t="s">
        <v>93</v>
      </c>
      <c r="F17" s="8">
        <v>3.5</v>
      </c>
      <c r="G17" s="8">
        <v>8632.09</v>
      </c>
      <c r="H17" s="8" t="s">
        <v>57</v>
      </c>
      <c r="I17" s="3">
        <f t="shared" si="0"/>
        <v>3.25</v>
      </c>
      <c r="J17" s="11">
        <f t="shared" si="1"/>
        <v>24869.051290000003</v>
      </c>
      <c r="K17" s="11">
        <f t="shared" si="2"/>
        <v>23398.143154000001</v>
      </c>
      <c r="L17" s="11">
        <f t="shared" si="3"/>
        <v>21688.989334000002</v>
      </c>
      <c r="M17" s="11">
        <f t="shared" si="4"/>
        <v>19920.274093</v>
      </c>
      <c r="N17" s="11">
        <f t="shared" si="5"/>
        <v>17853.751746999998</v>
      </c>
      <c r="O17" s="11">
        <f t="shared" si="6"/>
        <v>17853.751746999998</v>
      </c>
      <c r="P17" s="11">
        <f t="shared" si="7"/>
        <v>28054.2925</v>
      </c>
      <c r="Q17" s="11">
        <f t="shared" si="8"/>
        <v>28054.2925</v>
      </c>
      <c r="R17" s="11">
        <f t="shared" si="9"/>
        <v>28054.2925</v>
      </c>
      <c r="S17" s="11">
        <f t="shared" si="10"/>
        <v>28054.2925</v>
      </c>
      <c r="T17" s="11">
        <f t="shared" si="11"/>
        <v>26948.521771</v>
      </c>
      <c r="U17" s="11">
        <f t="shared" si="12"/>
        <v>25967.053137999999</v>
      </c>
      <c r="V17" s="13">
        <f t="shared" si="13"/>
        <v>28054.2925</v>
      </c>
      <c r="X17" s="30"/>
      <c r="AE17" s="13"/>
    </row>
    <row r="18" spans="1:37" x14ac:dyDescent="0.25">
      <c r="A18" s="8">
        <v>15</v>
      </c>
      <c r="B18" s="8">
        <v>20.023700000000002</v>
      </c>
      <c r="C18" s="8">
        <v>84.986900000000006</v>
      </c>
      <c r="D18" s="8" t="s">
        <v>7</v>
      </c>
      <c r="E18" s="8" t="s">
        <v>93</v>
      </c>
      <c r="F18" s="8">
        <v>2</v>
      </c>
      <c r="G18" s="8">
        <v>425.84</v>
      </c>
      <c r="H18" s="8" t="s">
        <v>57</v>
      </c>
      <c r="I18" s="3">
        <f t="shared" si="0"/>
        <v>1.75</v>
      </c>
      <c r="J18" s="11">
        <f t="shared" si="1"/>
        <v>588.08503999999994</v>
      </c>
      <c r="K18" s="11">
        <f t="shared" si="2"/>
        <v>515.52190399999995</v>
      </c>
      <c r="L18" s="11">
        <f t="shared" si="3"/>
        <v>431.20558399999993</v>
      </c>
      <c r="M18" s="11">
        <f t="shared" si="4"/>
        <v>343.95096799999999</v>
      </c>
      <c r="N18" s="11">
        <f t="shared" si="5"/>
        <v>242.00487200000001</v>
      </c>
      <c r="O18" s="11">
        <f t="shared" si="6"/>
        <v>242.00487200000001</v>
      </c>
      <c r="P18" s="11">
        <f t="shared" si="7"/>
        <v>745.21999999999991</v>
      </c>
      <c r="Q18" s="11">
        <f t="shared" si="8"/>
        <v>745.21999999999991</v>
      </c>
      <c r="R18" s="11">
        <f t="shared" si="9"/>
        <v>745.21999999999991</v>
      </c>
      <c r="S18" s="11">
        <f t="shared" si="10"/>
        <v>745.21999999999991</v>
      </c>
      <c r="T18" s="11">
        <f t="shared" si="11"/>
        <v>690.66989599999999</v>
      </c>
      <c r="U18" s="11">
        <f t="shared" si="12"/>
        <v>642.25188800000001</v>
      </c>
      <c r="V18" s="13">
        <f t="shared" si="13"/>
        <v>745.21999999999991</v>
      </c>
      <c r="X18" s="30"/>
    </row>
    <row r="19" spans="1:37" x14ac:dyDescent="0.25">
      <c r="A19" s="8">
        <v>16</v>
      </c>
      <c r="B19" s="8">
        <v>20.025300000000001</v>
      </c>
      <c r="C19" s="8">
        <v>84.986800000000002</v>
      </c>
      <c r="D19" s="8" t="s">
        <v>7</v>
      </c>
      <c r="E19" s="8" t="s">
        <v>93</v>
      </c>
      <c r="F19" s="8">
        <v>2</v>
      </c>
      <c r="G19" s="8">
        <v>3644.58</v>
      </c>
      <c r="H19" s="8" t="s">
        <v>57</v>
      </c>
      <c r="I19" s="3">
        <f t="shared" si="0"/>
        <v>1.75</v>
      </c>
      <c r="J19" s="11">
        <f t="shared" si="1"/>
        <v>5033.1649799999996</v>
      </c>
      <c r="K19" s="11">
        <f t="shared" si="2"/>
        <v>4412.1285479999997</v>
      </c>
      <c r="L19" s="11">
        <f t="shared" si="3"/>
        <v>3690.5017079999998</v>
      </c>
      <c r="M19" s="11">
        <f t="shared" si="4"/>
        <v>2943.7272659999999</v>
      </c>
      <c r="N19" s="11">
        <f t="shared" si="5"/>
        <v>2071.2148139999999</v>
      </c>
      <c r="O19" s="11">
        <f t="shared" si="6"/>
        <v>2071.2148139999999</v>
      </c>
      <c r="P19" s="11">
        <f t="shared" si="7"/>
        <v>6378.0149999999994</v>
      </c>
      <c r="Q19" s="11">
        <f t="shared" si="8"/>
        <v>6378.0149999999994</v>
      </c>
      <c r="R19" s="11">
        <f t="shared" si="9"/>
        <v>6378.0149999999994</v>
      </c>
      <c r="S19" s="11">
        <f t="shared" si="10"/>
        <v>6378.0149999999994</v>
      </c>
      <c r="T19" s="11">
        <f t="shared" si="11"/>
        <v>5911.1443020000006</v>
      </c>
      <c r="U19" s="11">
        <f t="shared" si="12"/>
        <v>5496.7555560000001</v>
      </c>
      <c r="V19" s="13">
        <f t="shared" si="13"/>
        <v>6378.0149999999994</v>
      </c>
      <c r="X19" s="30"/>
      <c r="AE19" s="13"/>
    </row>
    <row r="20" spans="1:37" x14ac:dyDescent="0.25">
      <c r="A20" s="8">
        <v>17</v>
      </c>
      <c r="B20" s="8">
        <v>20.0337</v>
      </c>
      <c r="C20" s="8">
        <v>84.967600000000004</v>
      </c>
      <c r="D20" s="8" t="s">
        <v>7</v>
      </c>
      <c r="E20" s="8" t="s">
        <v>93</v>
      </c>
      <c r="F20" s="8">
        <v>3</v>
      </c>
      <c r="G20" s="8">
        <v>342.3</v>
      </c>
      <c r="H20" s="8" t="s">
        <v>126</v>
      </c>
      <c r="I20" s="3">
        <f t="shared" si="0"/>
        <v>2.75</v>
      </c>
      <c r="J20" s="11">
        <f t="shared" si="1"/>
        <v>815.01630000000011</v>
      </c>
      <c r="K20" s="11">
        <f t="shared" si="2"/>
        <v>756.68837999999994</v>
      </c>
      <c r="L20" s="11">
        <f t="shared" si="3"/>
        <v>688.91297999999995</v>
      </c>
      <c r="M20" s="11">
        <f t="shared" si="4"/>
        <v>618.77571</v>
      </c>
      <c r="N20" s="11">
        <f t="shared" si="5"/>
        <v>536.82909000000006</v>
      </c>
      <c r="O20" s="11">
        <f t="shared" si="6"/>
        <v>536.82909000000006</v>
      </c>
      <c r="P20" s="11">
        <f t="shared" si="7"/>
        <v>941.32500000000005</v>
      </c>
      <c r="Q20" s="11">
        <f t="shared" si="8"/>
        <v>941.32500000000005</v>
      </c>
      <c r="R20" s="11">
        <f t="shared" si="9"/>
        <v>941.32500000000005</v>
      </c>
      <c r="S20" s="11">
        <f t="shared" si="10"/>
        <v>941.32500000000005</v>
      </c>
      <c r="T20" s="11">
        <f t="shared" si="11"/>
        <v>897.47637000000009</v>
      </c>
      <c r="U20" s="11">
        <f t="shared" si="12"/>
        <v>858.55686000000003</v>
      </c>
      <c r="V20" s="13">
        <f t="shared" si="13"/>
        <v>941.32500000000005</v>
      </c>
      <c r="X20" s="30"/>
      <c r="AB20" t="s">
        <v>38</v>
      </c>
      <c r="AC20">
        <v>0.25</v>
      </c>
    </row>
    <row r="21" spans="1:37" x14ac:dyDescent="0.25">
      <c r="A21" s="8">
        <v>18</v>
      </c>
      <c r="B21" s="8">
        <v>20.032800000000002</v>
      </c>
      <c r="C21" s="8">
        <v>84.964299999999994</v>
      </c>
      <c r="D21" s="8" t="s">
        <v>7</v>
      </c>
      <c r="E21" s="8" t="s">
        <v>93</v>
      </c>
      <c r="F21" s="8">
        <v>4</v>
      </c>
      <c r="G21" s="8">
        <v>7292.52</v>
      </c>
      <c r="H21" s="8" t="s">
        <v>126</v>
      </c>
      <c r="I21" s="3">
        <f t="shared" si="0"/>
        <v>3.75</v>
      </c>
      <c r="J21" s="11">
        <f t="shared" si="1"/>
        <v>24656.010120000003</v>
      </c>
      <c r="K21" s="11">
        <f t="shared" si="2"/>
        <v>23413.364712000002</v>
      </c>
      <c r="L21" s="11">
        <f t="shared" si="3"/>
        <v>21969.445752</v>
      </c>
      <c r="M21" s="11">
        <f t="shared" si="4"/>
        <v>20475.208404000001</v>
      </c>
      <c r="N21" s="11">
        <f t="shared" si="5"/>
        <v>18729.379116</v>
      </c>
      <c r="O21" s="11">
        <f t="shared" si="6"/>
        <v>18729.379116</v>
      </c>
      <c r="P21" s="11">
        <f t="shared" si="7"/>
        <v>27346.95</v>
      </c>
      <c r="Q21" s="11">
        <f t="shared" si="8"/>
        <v>27346.95</v>
      </c>
      <c r="R21" s="11">
        <f t="shared" si="9"/>
        <v>27346.95</v>
      </c>
      <c r="S21" s="11">
        <f t="shared" si="10"/>
        <v>27346.95</v>
      </c>
      <c r="T21" s="11">
        <f t="shared" si="11"/>
        <v>26412.778188000004</v>
      </c>
      <c r="U21" s="11">
        <f t="shared" si="12"/>
        <v>25583.618664000001</v>
      </c>
      <c r="V21" s="13">
        <f t="shared" si="13"/>
        <v>27346.95</v>
      </c>
      <c r="X21" s="30"/>
    </row>
    <row r="22" spans="1:37" x14ac:dyDescent="0.25">
      <c r="A22" s="8">
        <v>19</v>
      </c>
      <c r="B22" s="8">
        <v>20.0304</v>
      </c>
      <c r="C22" s="8">
        <v>84.968699999999998</v>
      </c>
      <c r="D22" s="8" t="s">
        <v>7</v>
      </c>
      <c r="E22" s="8" t="s">
        <v>93</v>
      </c>
      <c r="F22" s="8">
        <v>3.5</v>
      </c>
      <c r="G22" s="8">
        <v>7901.06</v>
      </c>
      <c r="H22" s="8" t="s">
        <v>126</v>
      </c>
      <c r="I22" s="3">
        <f t="shared" si="0"/>
        <v>3.25</v>
      </c>
      <c r="J22" s="11">
        <f t="shared" si="1"/>
        <v>22762.953860000001</v>
      </c>
      <c r="K22" s="11">
        <f t="shared" si="2"/>
        <v>21416.613236000001</v>
      </c>
      <c r="L22" s="11">
        <f t="shared" si="3"/>
        <v>19852.203356000002</v>
      </c>
      <c r="M22" s="11">
        <f t="shared" si="4"/>
        <v>18233.276162000002</v>
      </c>
      <c r="N22" s="11">
        <f t="shared" si="5"/>
        <v>16341.762397999999</v>
      </c>
      <c r="O22" s="11">
        <f t="shared" si="6"/>
        <v>16341.762397999999</v>
      </c>
      <c r="P22" s="11">
        <f t="shared" si="7"/>
        <v>25678.445</v>
      </c>
      <c r="Q22" s="11">
        <f t="shared" si="8"/>
        <v>25678.445</v>
      </c>
      <c r="R22" s="11">
        <f t="shared" si="9"/>
        <v>25678.445</v>
      </c>
      <c r="S22" s="11">
        <f t="shared" si="10"/>
        <v>25678.445</v>
      </c>
      <c r="T22" s="11">
        <f t="shared" si="11"/>
        <v>24666.319214000003</v>
      </c>
      <c r="U22" s="11">
        <f t="shared" si="12"/>
        <v>23767.968692000002</v>
      </c>
      <c r="V22" s="13">
        <f t="shared" si="13"/>
        <v>25678.445</v>
      </c>
      <c r="X22" s="30"/>
    </row>
    <row r="23" spans="1:37" ht="15.75" x14ac:dyDescent="0.25">
      <c r="A23" s="8">
        <v>20</v>
      </c>
      <c r="B23" s="8">
        <v>20.029900000000001</v>
      </c>
      <c r="C23" s="8">
        <v>84.963999999999999</v>
      </c>
      <c r="D23" s="8" t="s">
        <v>7</v>
      </c>
      <c r="E23" s="8" t="s">
        <v>93</v>
      </c>
      <c r="F23" s="8">
        <v>3</v>
      </c>
      <c r="G23" s="8">
        <v>2098.08</v>
      </c>
      <c r="H23" s="8" t="s">
        <v>126</v>
      </c>
      <c r="I23" s="3">
        <f t="shared" si="0"/>
        <v>2.75</v>
      </c>
      <c r="J23" s="11">
        <f t="shared" si="1"/>
        <v>4995.5284799999999</v>
      </c>
      <c r="K23" s="11">
        <f t="shared" si="2"/>
        <v>4638.0156479999996</v>
      </c>
      <c r="L23" s="11">
        <f t="shared" si="3"/>
        <v>4222.595808</v>
      </c>
      <c r="M23" s="11">
        <f t="shared" si="4"/>
        <v>3792.699216</v>
      </c>
      <c r="N23" s="11">
        <f t="shared" si="5"/>
        <v>3290.4188639999998</v>
      </c>
      <c r="O23" s="11">
        <f t="shared" si="6"/>
        <v>3290.4188639999998</v>
      </c>
      <c r="P23" s="11">
        <f t="shared" si="7"/>
        <v>5769.7199999999993</v>
      </c>
      <c r="Q23" s="11">
        <f t="shared" si="8"/>
        <v>5769.7199999999993</v>
      </c>
      <c r="R23" s="11">
        <f t="shared" si="9"/>
        <v>5769.7199999999993</v>
      </c>
      <c r="S23" s="11">
        <f t="shared" si="10"/>
        <v>5769.7199999999993</v>
      </c>
      <c r="T23" s="11">
        <f t="shared" si="11"/>
        <v>5500.9559520000003</v>
      </c>
      <c r="U23" s="11">
        <f t="shared" si="12"/>
        <v>5262.4042559999998</v>
      </c>
      <c r="V23" s="13">
        <f t="shared" si="13"/>
        <v>5769.7199999999993</v>
      </c>
      <c r="X23" s="30"/>
      <c r="Y23" s="9" t="s">
        <v>26</v>
      </c>
      <c r="Z23" s="9" t="s">
        <v>14</v>
      </c>
      <c r="AA23" s="9" t="s">
        <v>15</v>
      </c>
      <c r="AB23" s="9" t="s">
        <v>16</v>
      </c>
      <c r="AC23" s="9" t="s">
        <v>17</v>
      </c>
      <c r="AD23" s="9" t="s">
        <v>18</v>
      </c>
      <c r="AE23" s="9" t="s">
        <v>19</v>
      </c>
      <c r="AF23" s="9" t="s">
        <v>20</v>
      </c>
      <c r="AG23" s="9" t="s">
        <v>21</v>
      </c>
      <c r="AH23" s="9" t="s">
        <v>22</v>
      </c>
      <c r="AI23" s="9" t="s">
        <v>23</v>
      </c>
      <c r="AJ23" s="9" t="s">
        <v>24</v>
      </c>
      <c r="AK23" s="9" t="s">
        <v>25</v>
      </c>
    </row>
    <row r="24" spans="1:37" ht="15.75" x14ac:dyDescent="0.25">
      <c r="A24" s="8">
        <v>21</v>
      </c>
      <c r="B24" s="8">
        <v>20.023499999999999</v>
      </c>
      <c r="C24" s="8">
        <v>84.963399999999993</v>
      </c>
      <c r="D24" s="8" t="s">
        <v>7</v>
      </c>
      <c r="E24" s="8" t="s">
        <v>93</v>
      </c>
      <c r="F24" s="8">
        <v>4</v>
      </c>
      <c r="G24" s="8">
        <v>1914.1</v>
      </c>
      <c r="H24" s="8" t="s">
        <v>126</v>
      </c>
      <c r="I24" s="3">
        <f t="shared" si="0"/>
        <v>3.75</v>
      </c>
      <c r="J24" s="11">
        <f t="shared" si="1"/>
        <v>6471.5721000000003</v>
      </c>
      <c r="K24" s="11">
        <f t="shared" si="2"/>
        <v>6145.4094599999999</v>
      </c>
      <c r="L24" s="11">
        <f t="shared" si="3"/>
        <v>5766.4176600000001</v>
      </c>
      <c r="M24" s="11">
        <f t="shared" si="4"/>
        <v>5374.21857</v>
      </c>
      <c r="N24" s="11">
        <f t="shared" si="5"/>
        <v>4915.9830299999994</v>
      </c>
      <c r="O24" s="11">
        <f t="shared" si="6"/>
        <v>4915.9830299999994</v>
      </c>
      <c r="P24" s="11">
        <f t="shared" si="7"/>
        <v>7177.875</v>
      </c>
      <c r="Q24" s="11">
        <f t="shared" si="8"/>
        <v>7177.875</v>
      </c>
      <c r="R24" s="11">
        <f t="shared" si="9"/>
        <v>7177.875</v>
      </c>
      <c r="S24" s="11">
        <f t="shared" si="10"/>
        <v>7177.875</v>
      </c>
      <c r="T24" s="11">
        <f t="shared" si="11"/>
        <v>6932.6787899999999</v>
      </c>
      <c r="U24" s="11">
        <f t="shared" si="12"/>
        <v>6715.0456199999999</v>
      </c>
      <c r="V24" s="13">
        <f t="shared" si="13"/>
        <v>7177.875</v>
      </c>
      <c r="X24" s="30"/>
      <c r="Y24" s="12" t="s">
        <v>97</v>
      </c>
      <c r="Z24" s="11">
        <f>AF4</f>
        <v>0.36899999999999999</v>
      </c>
      <c r="AA24" s="11">
        <f>AF5</f>
        <v>0.53939999999999999</v>
      </c>
      <c r="AB24" s="11">
        <f>AF6</f>
        <v>0.73740000000000006</v>
      </c>
      <c r="AC24" s="11">
        <f>AF7</f>
        <v>0.94230000000000003</v>
      </c>
      <c r="AD24" s="11">
        <f>AF8</f>
        <v>1.1817</v>
      </c>
      <c r="AE24" s="18">
        <f>AF9</f>
        <v>1.1817</v>
      </c>
      <c r="AF24" s="18">
        <f>AF10</f>
        <v>0</v>
      </c>
      <c r="AG24" s="18">
        <f>AF11</f>
        <v>0</v>
      </c>
      <c r="AH24" s="18">
        <f>AF12</f>
        <v>0</v>
      </c>
      <c r="AI24" s="18">
        <f>AF13</f>
        <v>0</v>
      </c>
      <c r="AJ24" s="11">
        <f>AF14</f>
        <v>0.12809999999999999</v>
      </c>
      <c r="AK24" s="11">
        <f>AF15</f>
        <v>0.24180000000000001</v>
      </c>
    </row>
    <row r="25" spans="1:37" x14ac:dyDescent="0.25">
      <c r="A25" s="8">
        <v>22</v>
      </c>
      <c r="B25" s="8">
        <v>20.023599999999998</v>
      </c>
      <c r="C25" s="8">
        <v>84.966700000000003</v>
      </c>
      <c r="D25" s="8" t="s">
        <v>7</v>
      </c>
      <c r="E25" s="8" t="s">
        <v>93</v>
      </c>
      <c r="F25" s="8">
        <v>4</v>
      </c>
      <c r="G25" s="8">
        <v>8725.32</v>
      </c>
      <c r="H25" s="8" t="s">
        <v>126</v>
      </c>
      <c r="I25" s="3">
        <f t="shared" si="0"/>
        <v>3.75</v>
      </c>
      <c r="J25" s="11">
        <f t="shared" si="1"/>
        <v>29500.306920000003</v>
      </c>
      <c r="K25" s="11">
        <f t="shared" si="2"/>
        <v>28013.512391999997</v>
      </c>
      <c r="L25" s="11">
        <f t="shared" si="3"/>
        <v>26285.899031999998</v>
      </c>
      <c r="M25" s="11">
        <f t="shared" si="4"/>
        <v>24498.080964000001</v>
      </c>
      <c r="N25" s="11">
        <f t="shared" si="5"/>
        <v>22409.239355999998</v>
      </c>
      <c r="O25" s="11">
        <f t="shared" si="6"/>
        <v>22409.239355999998</v>
      </c>
      <c r="P25" s="11">
        <f t="shared" si="7"/>
        <v>32719.949999999997</v>
      </c>
      <c r="Q25" s="11">
        <f t="shared" si="8"/>
        <v>32719.949999999997</v>
      </c>
      <c r="R25" s="11">
        <f t="shared" si="9"/>
        <v>32719.949999999997</v>
      </c>
      <c r="S25" s="11">
        <f t="shared" si="10"/>
        <v>32719.949999999997</v>
      </c>
      <c r="T25" s="11">
        <f t="shared" si="11"/>
        <v>31602.236508000002</v>
      </c>
      <c r="U25" s="11">
        <f t="shared" si="12"/>
        <v>30610.167623999998</v>
      </c>
      <c r="V25" s="13">
        <f t="shared" si="13"/>
        <v>32719.949999999997</v>
      </c>
      <c r="X25" s="30"/>
    </row>
    <row r="26" spans="1:37" x14ac:dyDescent="0.25">
      <c r="A26" s="8">
        <v>23</v>
      </c>
      <c r="B26" s="8">
        <v>20.022600000000001</v>
      </c>
      <c r="C26" s="8">
        <v>84.975999999999999</v>
      </c>
      <c r="D26" s="8" t="s">
        <v>7</v>
      </c>
      <c r="E26" s="8" t="s">
        <v>93</v>
      </c>
      <c r="F26" s="8">
        <v>4</v>
      </c>
      <c r="G26" s="8">
        <v>50782.82</v>
      </c>
      <c r="H26" s="8" t="s">
        <v>55</v>
      </c>
      <c r="I26" s="3">
        <f t="shared" si="0"/>
        <v>3.75</v>
      </c>
      <c r="J26" s="11">
        <f t="shared" si="1"/>
        <v>171696.71442</v>
      </c>
      <c r="K26" s="11">
        <f t="shared" si="2"/>
        <v>163043.32189200001</v>
      </c>
      <c r="L26" s="11">
        <f t="shared" si="3"/>
        <v>152988.32353200001</v>
      </c>
      <c r="M26" s="11">
        <f t="shared" si="4"/>
        <v>142582.923714</v>
      </c>
      <c r="N26" s="11">
        <f t="shared" si="5"/>
        <v>130425.51660599999</v>
      </c>
      <c r="O26" s="11">
        <f t="shared" si="6"/>
        <v>130425.51660599999</v>
      </c>
      <c r="P26" s="11">
        <f t="shared" si="7"/>
        <v>190435.57500000001</v>
      </c>
      <c r="Q26" s="11">
        <f t="shared" si="8"/>
        <v>190435.57500000001</v>
      </c>
      <c r="R26" s="11">
        <f t="shared" si="9"/>
        <v>190435.57500000001</v>
      </c>
      <c r="S26" s="11">
        <f t="shared" si="10"/>
        <v>190435.57500000001</v>
      </c>
      <c r="T26" s="11">
        <f t="shared" si="11"/>
        <v>183930.29575799999</v>
      </c>
      <c r="U26" s="11">
        <f t="shared" si="12"/>
        <v>178156.289124</v>
      </c>
      <c r="V26" s="13">
        <f t="shared" si="13"/>
        <v>190435.57500000001</v>
      </c>
      <c r="X26" s="30"/>
    </row>
    <row r="27" spans="1:37" x14ac:dyDescent="0.25">
      <c r="A27" s="8">
        <v>24</v>
      </c>
      <c r="B27" s="8">
        <v>20.014800000000001</v>
      </c>
      <c r="C27" s="8">
        <v>84.965599999999995</v>
      </c>
      <c r="D27" s="8" t="s">
        <v>7</v>
      </c>
      <c r="E27" s="8" t="s">
        <v>93</v>
      </c>
      <c r="F27" s="8">
        <v>3</v>
      </c>
      <c r="G27" s="8">
        <v>14540.93</v>
      </c>
      <c r="H27" s="8" t="s">
        <v>126</v>
      </c>
      <c r="I27" s="3">
        <f t="shared" si="0"/>
        <v>2.75</v>
      </c>
      <c r="J27" s="11">
        <f t="shared" si="1"/>
        <v>34621.95433</v>
      </c>
      <c r="K27" s="11">
        <f t="shared" si="2"/>
        <v>32144.179858</v>
      </c>
      <c r="L27" s="11">
        <f t="shared" si="3"/>
        <v>29265.075718</v>
      </c>
      <c r="M27" s="11">
        <f t="shared" si="4"/>
        <v>26285.639161000003</v>
      </c>
      <c r="N27" s="11">
        <f t="shared" si="5"/>
        <v>22804.540519000002</v>
      </c>
      <c r="O27" s="11">
        <f t="shared" si="6"/>
        <v>22804.540519000002</v>
      </c>
      <c r="P27" s="11">
        <f t="shared" si="7"/>
        <v>39987.557500000003</v>
      </c>
      <c r="Q27" s="11">
        <f t="shared" si="8"/>
        <v>39987.557500000003</v>
      </c>
      <c r="R27" s="11">
        <f t="shared" si="9"/>
        <v>39987.557500000003</v>
      </c>
      <c r="S27" s="11">
        <f t="shared" si="10"/>
        <v>39987.557500000003</v>
      </c>
      <c r="T27" s="11">
        <f t="shared" si="11"/>
        <v>38124.864367000002</v>
      </c>
      <c r="U27" s="11">
        <f t="shared" si="12"/>
        <v>36471.560625999999</v>
      </c>
      <c r="V27" s="13">
        <f t="shared" si="13"/>
        <v>39987.557500000003</v>
      </c>
      <c r="X27" s="30"/>
    </row>
    <row r="28" spans="1:37" x14ac:dyDescent="0.25">
      <c r="A28" s="8">
        <v>25</v>
      </c>
      <c r="B28" s="8">
        <v>20.0075</v>
      </c>
      <c r="C28" s="8">
        <v>84.965800000000002</v>
      </c>
      <c r="D28" s="8" t="s">
        <v>7</v>
      </c>
      <c r="E28" s="8" t="s">
        <v>93</v>
      </c>
      <c r="F28" s="8">
        <v>2</v>
      </c>
      <c r="G28" s="8">
        <v>1837.4</v>
      </c>
      <c r="H28" s="8" t="s">
        <v>126</v>
      </c>
      <c r="I28" s="3">
        <f t="shared" si="0"/>
        <v>1.75</v>
      </c>
      <c r="J28" s="11">
        <f t="shared" si="1"/>
        <v>2537.4494</v>
      </c>
      <c r="K28" s="11">
        <f t="shared" si="2"/>
        <v>2224.35644</v>
      </c>
      <c r="L28" s="11">
        <f t="shared" si="3"/>
        <v>1860.55124</v>
      </c>
      <c r="M28" s="11">
        <f t="shared" si="4"/>
        <v>1484.06798</v>
      </c>
      <c r="N28" s="11">
        <f t="shared" si="5"/>
        <v>1044.19442</v>
      </c>
      <c r="O28" s="11">
        <f t="shared" si="6"/>
        <v>1044.19442</v>
      </c>
      <c r="P28" s="11">
        <f t="shared" si="7"/>
        <v>3215.4500000000003</v>
      </c>
      <c r="Q28" s="11">
        <f t="shared" si="8"/>
        <v>3215.4500000000003</v>
      </c>
      <c r="R28" s="11">
        <f t="shared" si="9"/>
        <v>3215.4500000000003</v>
      </c>
      <c r="S28" s="11">
        <f t="shared" si="10"/>
        <v>3215.4500000000003</v>
      </c>
      <c r="T28" s="11">
        <f t="shared" si="11"/>
        <v>2980.0790600000005</v>
      </c>
      <c r="U28" s="11">
        <f t="shared" si="12"/>
        <v>2771.1666800000003</v>
      </c>
      <c r="V28" s="13">
        <f t="shared" si="13"/>
        <v>3215.4500000000003</v>
      </c>
      <c r="X28" s="30"/>
    </row>
    <row r="29" spans="1:37" x14ac:dyDescent="0.25">
      <c r="A29" s="8">
        <v>26</v>
      </c>
      <c r="B29" s="8">
        <v>20.006900000000002</v>
      </c>
      <c r="C29" s="8">
        <v>84.965900000000005</v>
      </c>
      <c r="D29" s="8" t="s">
        <v>7</v>
      </c>
      <c r="E29" s="8" t="s">
        <v>93</v>
      </c>
      <c r="F29" s="8">
        <v>3</v>
      </c>
      <c r="G29" s="8">
        <v>6228.45</v>
      </c>
      <c r="H29" s="8" t="s">
        <v>126</v>
      </c>
      <c r="I29" s="3">
        <f t="shared" si="0"/>
        <v>2.75</v>
      </c>
      <c r="J29" s="11">
        <f t="shared" si="1"/>
        <v>14829.939450000002</v>
      </c>
      <c r="K29" s="11">
        <f t="shared" si="2"/>
        <v>13768.611569999999</v>
      </c>
      <c r="L29" s="11">
        <f t="shared" si="3"/>
        <v>12535.37847</v>
      </c>
      <c r="M29" s="11">
        <f t="shared" si="4"/>
        <v>11259.169065</v>
      </c>
      <c r="N29" s="11">
        <f t="shared" si="5"/>
        <v>9768.0781349999997</v>
      </c>
      <c r="O29" s="11">
        <f t="shared" si="6"/>
        <v>9768.0781349999997</v>
      </c>
      <c r="P29" s="11">
        <f t="shared" si="7"/>
        <v>17128.237499999999</v>
      </c>
      <c r="Q29" s="11">
        <f t="shared" si="8"/>
        <v>17128.237499999999</v>
      </c>
      <c r="R29" s="11">
        <f t="shared" si="9"/>
        <v>17128.237499999999</v>
      </c>
      <c r="S29" s="11">
        <f t="shared" si="10"/>
        <v>17128.237499999999</v>
      </c>
      <c r="T29" s="11">
        <f t="shared" si="11"/>
        <v>16330.373055</v>
      </c>
      <c r="U29" s="11">
        <f t="shared" si="12"/>
        <v>15622.19829</v>
      </c>
      <c r="V29" s="13">
        <f t="shared" si="13"/>
        <v>17128.237499999999</v>
      </c>
      <c r="X29" s="30"/>
    </row>
    <row r="30" spans="1:37" x14ac:dyDescent="0.25">
      <c r="A30" s="8">
        <v>27</v>
      </c>
      <c r="B30" s="8">
        <v>20.0063</v>
      </c>
      <c r="C30" s="8">
        <v>84.966499999999996</v>
      </c>
      <c r="D30" s="8" t="s">
        <v>7</v>
      </c>
      <c r="E30" s="8" t="s">
        <v>93</v>
      </c>
      <c r="F30" s="8">
        <v>2</v>
      </c>
      <c r="G30" s="8">
        <v>3637.72</v>
      </c>
      <c r="H30" s="8" t="s">
        <v>126</v>
      </c>
      <c r="I30" s="3">
        <f t="shared" si="0"/>
        <v>1.75</v>
      </c>
      <c r="J30" s="11">
        <f t="shared" si="1"/>
        <v>5023.6913199999999</v>
      </c>
      <c r="K30" s="11">
        <f t="shared" si="2"/>
        <v>4403.8238319999991</v>
      </c>
      <c r="L30" s="11">
        <f t="shared" si="3"/>
        <v>3683.5552719999996</v>
      </c>
      <c r="M30" s="11">
        <f t="shared" si="4"/>
        <v>2938.1864439999999</v>
      </c>
      <c r="N30" s="11">
        <f t="shared" si="5"/>
        <v>2067.316276</v>
      </c>
      <c r="O30" s="11">
        <f t="shared" si="6"/>
        <v>2067.316276</v>
      </c>
      <c r="P30" s="11">
        <f t="shared" si="7"/>
        <v>6366.0099999999993</v>
      </c>
      <c r="Q30" s="11">
        <f t="shared" si="8"/>
        <v>6366.0099999999993</v>
      </c>
      <c r="R30" s="11">
        <f t="shared" si="9"/>
        <v>6366.0099999999993</v>
      </c>
      <c r="S30" s="11">
        <f t="shared" si="10"/>
        <v>6366.0099999999993</v>
      </c>
      <c r="T30" s="11">
        <f t="shared" si="11"/>
        <v>5900.0180680000003</v>
      </c>
      <c r="U30" s="11">
        <f t="shared" si="12"/>
        <v>5486.4093039999998</v>
      </c>
      <c r="V30" s="13">
        <f t="shared" si="13"/>
        <v>6366.0099999999993</v>
      </c>
      <c r="X30" s="30"/>
    </row>
    <row r="31" spans="1:37" x14ac:dyDescent="0.25">
      <c r="A31" s="8">
        <v>28</v>
      </c>
      <c r="B31" s="8">
        <v>20.0063</v>
      </c>
      <c r="C31" s="8">
        <v>84.969300000000004</v>
      </c>
      <c r="D31" s="8" t="s">
        <v>7</v>
      </c>
      <c r="E31" s="8" t="s">
        <v>93</v>
      </c>
      <c r="F31" s="8">
        <v>2</v>
      </c>
      <c r="G31" s="8">
        <v>721.48</v>
      </c>
      <c r="H31" s="8" t="s">
        <v>126</v>
      </c>
      <c r="I31" s="3">
        <f t="shared" si="0"/>
        <v>1.75</v>
      </c>
      <c r="J31" s="11">
        <f t="shared" si="1"/>
        <v>996.36387999999999</v>
      </c>
      <c r="K31" s="11">
        <f t="shared" si="2"/>
        <v>873.42368799999997</v>
      </c>
      <c r="L31" s="11">
        <f t="shared" si="3"/>
        <v>730.57064800000001</v>
      </c>
      <c r="M31" s="11">
        <f t="shared" si="4"/>
        <v>582.73939599999994</v>
      </c>
      <c r="N31" s="11">
        <f t="shared" si="5"/>
        <v>410.01708400000001</v>
      </c>
      <c r="O31" s="11">
        <f t="shared" si="6"/>
        <v>410.01708400000001</v>
      </c>
      <c r="P31" s="11">
        <f t="shared" si="7"/>
        <v>1262.5900000000001</v>
      </c>
      <c r="Q31" s="11">
        <f t="shared" si="8"/>
        <v>1262.5900000000001</v>
      </c>
      <c r="R31" s="11">
        <f t="shared" si="9"/>
        <v>1262.5900000000001</v>
      </c>
      <c r="S31" s="11">
        <f t="shared" si="10"/>
        <v>1262.5900000000001</v>
      </c>
      <c r="T31" s="11">
        <f t="shared" si="11"/>
        <v>1170.1684120000002</v>
      </c>
      <c r="U31" s="11">
        <f t="shared" si="12"/>
        <v>1088.1361360000001</v>
      </c>
      <c r="V31" s="13">
        <f t="shared" si="13"/>
        <v>1262.5900000000001</v>
      </c>
      <c r="X31" s="30"/>
    </row>
    <row r="32" spans="1:37" x14ac:dyDescent="0.25">
      <c r="A32" s="8">
        <v>29</v>
      </c>
      <c r="B32" s="8">
        <v>20.004899999999999</v>
      </c>
      <c r="C32" s="8">
        <v>84.971000000000004</v>
      </c>
      <c r="D32" s="8" t="s">
        <v>7</v>
      </c>
      <c r="E32" s="8" t="s">
        <v>93</v>
      </c>
      <c r="F32" s="8">
        <v>2</v>
      </c>
      <c r="G32" s="8">
        <v>549.59</v>
      </c>
      <c r="H32" s="8" t="s">
        <v>126</v>
      </c>
      <c r="I32" s="3">
        <f t="shared" si="0"/>
        <v>1.75</v>
      </c>
      <c r="J32" s="11">
        <f t="shared" si="1"/>
        <v>758.98379</v>
      </c>
      <c r="K32" s="11">
        <f t="shared" si="2"/>
        <v>665.33365400000002</v>
      </c>
      <c r="L32" s="11">
        <f t="shared" si="3"/>
        <v>556.51483399999995</v>
      </c>
      <c r="M32" s="11">
        <f t="shared" si="4"/>
        <v>443.90384299999999</v>
      </c>
      <c r="N32" s="11">
        <f t="shared" si="5"/>
        <v>312.33199700000006</v>
      </c>
      <c r="O32" s="11">
        <f t="shared" si="6"/>
        <v>312.33199700000006</v>
      </c>
      <c r="P32" s="11">
        <f t="shared" si="7"/>
        <v>961.78250000000003</v>
      </c>
      <c r="Q32" s="11">
        <f t="shared" si="8"/>
        <v>961.78250000000003</v>
      </c>
      <c r="R32" s="11">
        <f t="shared" si="9"/>
        <v>961.78250000000003</v>
      </c>
      <c r="S32" s="11">
        <f t="shared" si="10"/>
        <v>961.78250000000003</v>
      </c>
      <c r="T32" s="11">
        <f t="shared" si="11"/>
        <v>891.38002100000017</v>
      </c>
      <c r="U32" s="11">
        <f t="shared" si="12"/>
        <v>828.89163800000006</v>
      </c>
      <c r="V32" s="13">
        <f t="shared" si="13"/>
        <v>961.78250000000003</v>
      </c>
      <c r="X32" s="30"/>
    </row>
    <row r="33" spans="1:24" x14ac:dyDescent="0.25">
      <c r="A33" s="8">
        <v>30</v>
      </c>
      <c r="B33" s="8">
        <v>19.999199999999998</v>
      </c>
      <c r="C33" s="8">
        <v>84.972200000000001</v>
      </c>
      <c r="D33" s="8" t="s">
        <v>7</v>
      </c>
      <c r="E33" s="8" t="s">
        <v>93</v>
      </c>
      <c r="F33" s="8">
        <v>4</v>
      </c>
      <c r="G33" s="8">
        <v>8715.41</v>
      </c>
      <c r="H33" s="8" t="s">
        <v>126</v>
      </c>
      <c r="I33" s="3">
        <f t="shared" si="0"/>
        <v>3.75</v>
      </c>
      <c r="J33" s="11">
        <f t="shared" si="1"/>
        <v>29466.801210000001</v>
      </c>
      <c r="K33" s="11">
        <f t="shared" si="2"/>
        <v>27981.695346</v>
      </c>
      <c r="L33" s="11">
        <f t="shared" si="3"/>
        <v>26256.044166</v>
      </c>
      <c r="M33" s="11">
        <f t="shared" si="4"/>
        <v>24470.256657000002</v>
      </c>
      <c r="N33" s="11">
        <f t="shared" si="5"/>
        <v>22383.787503</v>
      </c>
      <c r="O33" s="11">
        <f t="shared" si="6"/>
        <v>22383.787503</v>
      </c>
      <c r="P33" s="11">
        <f t="shared" si="7"/>
        <v>32682.787499999999</v>
      </c>
      <c r="Q33" s="11">
        <f t="shared" si="8"/>
        <v>32682.787499999999</v>
      </c>
      <c r="R33" s="11">
        <f t="shared" si="9"/>
        <v>32682.787499999999</v>
      </c>
      <c r="S33" s="11">
        <f t="shared" si="10"/>
        <v>32682.787499999999</v>
      </c>
      <c r="T33" s="11">
        <f t="shared" si="11"/>
        <v>31566.343478999999</v>
      </c>
      <c r="U33" s="11">
        <f t="shared" si="12"/>
        <v>30575.401362000001</v>
      </c>
      <c r="V33" s="13">
        <f t="shared" si="13"/>
        <v>32682.787499999999</v>
      </c>
      <c r="X33" s="30"/>
    </row>
    <row r="34" spans="1:24" x14ac:dyDescent="0.25">
      <c r="A34" s="8">
        <v>31</v>
      </c>
      <c r="B34" s="8">
        <v>19.996400000000001</v>
      </c>
      <c r="C34" s="8">
        <v>84.972899999999996</v>
      </c>
      <c r="D34" s="8" t="s">
        <v>7</v>
      </c>
      <c r="E34" s="8" t="s">
        <v>93</v>
      </c>
      <c r="F34" s="8">
        <v>4</v>
      </c>
      <c r="G34" s="8">
        <v>1121.71</v>
      </c>
      <c r="H34" s="8" t="s">
        <v>126</v>
      </c>
      <c r="I34" s="3">
        <f t="shared" si="0"/>
        <v>3.75</v>
      </c>
      <c r="J34" s="11">
        <f t="shared" si="1"/>
        <v>3792.5015100000005</v>
      </c>
      <c r="K34" s="11">
        <f t="shared" si="2"/>
        <v>3601.362126</v>
      </c>
      <c r="L34" s="11">
        <f t="shared" si="3"/>
        <v>3379.2635460000001</v>
      </c>
      <c r="M34" s="11">
        <f t="shared" si="4"/>
        <v>3149.4251670000003</v>
      </c>
      <c r="N34" s="11">
        <f t="shared" si="5"/>
        <v>2880.8877929999999</v>
      </c>
      <c r="O34" s="11">
        <f t="shared" si="6"/>
        <v>2880.8877929999999</v>
      </c>
      <c r="P34" s="11">
        <f t="shared" si="7"/>
        <v>4206.4125000000004</v>
      </c>
      <c r="Q34" s="11">
        <f t="shared" si="8"/>
        <v>4206.4125000000004</v>
      </c>
      <c r="R34" s="11">
        <f t="shared" si="9"/>
        <v>4206.4125000000004</v>
      </c>
      <c r="S34" s="11">
        <f t="shared" si="10"/>
        <v>4206.4125000000004</v>
      </c>
      <c r="T34" s="11">
        <f t="shared" si="11"/>
        <v>4062.7214490000001</v>
      </c>
      <c r="U34" s="11">
        <f t="shared" si="12"/>
        <v>3935.1830220000002</v>
      </c>
      <c r="V34" s="13">
        <f t="shared" si="13"/>
        <v>4206.4125000000004</v>
      </c>
      <c r="X34" s="30"/>
    </row>
    <row r="35" spans="1:24" x14ac:dyDescent="0.25">
      <c r="A35" s="8">
        <v>32</v>
      </c>
      <c r="B35" s="8">
        <v>19.992000000000001</v>
      </c>
      <c r="C35" s="8">
        <v>84.973600000000005</v>
      </c>
      <c r="D35" s="8" t="s">
        <v>7</v>
      </c>
      <c r="E35" s="8" t="s">
        <v>93</v>
      </c>
      <c r="F35" s="8">
        <v>3</v>
      </c>
      <c r="G35" s="8">
        <v>2199.67</v>
      </c>
      <c r="H35" s="8" t="s">
        <v>126</v>
      </c>
      <c r="I35" s="3">
        <f t="shared" si="0"/>
        <v>2.75</v>
      </c>
      <c r="J35" s="11">
        <f t="shared" si="1"/>
        <v>5237.4142700000011</v>
      </c>
      <c r="K35" s="11">
        <f t="shared" si="2"/>
        <v>4862.590502</v>
      </c>
      <c r="L35" s="11">
        <f t="shared" si="3"/>
        <v>4427.0558419999998</v>
      </c>
      <c r="M35" s="11">
        <f t="shared" si="4"/>
        <v>3976.3434590000002</v>
      </c>
      <c r="N35" s="11">
        <f t="shared" si="5"/>
        <v>3449.7424610000003</v>
      </c>
      <c r="O35" s="11">
        <f t="shared" si="6"/>
        <v>3449.7424610000003</v>
      </c>
      <c r="P35" s="11">
        <f t="shared" si="7"/>
        <v>6049.0925000000007</v>
      </c>
      <c r="Q35" s="11">
        <f t="shared" si="8"/>
        <v>6049.0925000000007</v>
      </c>
      <c r="R35" s="11">
        <f t="shared" si="9"/>
        <v>6049.0925000000007</v>
      </c>
      <c r="S35" s="11">
        <f t="shared" si="10"/>
        <v>6049.0925000000007</v>
      </c>
      <c r="T35" s="11">
        <f t="shared" si="11"/>
        <v>5767.3147730000001</v>
      </c>
      <c r="U35" s="11">
        <f t="shared" si="12"/>
        <v>5517.2122939999999</v>
      </c>
      <c r="V35" s="13">
        <f t="shared" si="13"/>
        <v>6049.0925000000007</v>
      </c>
      <c r="X35" s="30"/>
    </row>
    <row r="36" spans="1:24" x14ac:dyDescent="0.25">
      <c r="A36" s="8">
        <v>33</v>
      </c>
      <c r="B36" s="8">
        <v>19.992599999999999</v>
      </c>
      <c r="C36" s="8">
        <v>84.973100000000002</v>
      </c>
      <c r="D36" s="8" t="s">
        <v>7</v>
      </c>
      <c r="E36" s="8" t="s">
        <v>93</v>
      </c>
      <c r="F36" s="8">
        <v>3</v>
      </c>
      <c r="G36" s="8">
        <v>877.95</v>
      </c>
      <c r="H36" s="8" t="s">
        <v>126</v>
      </c>
      <c r="I36" s="3">
        <f t="shared" si="0"/>
        <v>2.75</v>
      </c>
      <c r="J36" s="11">
        <f t="shared" si="1"/>
        <v>2090.3989500000002</v>
      </c>
      <c r="K36" s="11">
        <f t="shared" si="2"/>
        <v>1940.79627</v>
      </c>
      <c r="L36" s="11">
        <f t="shared" si="3"/>
        <v>1766.96217</v>
      </c>
      <c r="M36" s="11">
        <f t="shared" si="4"/>
        <v>1587.0702150000002</v>
      </c>
      <c r="N36" s="11">
        <f t="shared" si="5"/>
        <v>1376.888985</v>
      </c>
      <c r="O36" s="11">
        <f t="shared" si="6"/>
        <v>1376.888985</v>
      </c>
      <c r="P36" s="11">
        <f t="shared" si="7"/>
        <v>2414.3625000000002</v>
      </c>
      <c r="Q36" s="11">
        <f t="shared" si="8"/>
        <v>2414.3625000000002</v>
      </c>
      <c r="R36" s="11">
        <f t="shared" si="9"/>
        <v>2414.3625000000002</v>
      </c>
      <c r="S36" s="11">
        <f t="shared" si="10"/>
        <v>2414.3625000000002</v>
      </c>
      <c r="T36" s="11">
        <f t="shared" si="11"/>
        <v>2301.897105</v>
      </c>
      <c r="U36" s="11">
        <f t="shared" si="12"/>
        <v>2202.0741900000003</v>
      </c>
      <c r="V36" s="13">
        <f t="shared" si="13"/>
        <v>2414.3625000000002</v>
      </c>
      <c r="X36" s="30"/>
    </row>
    <row r="37" spans="1:24" x14ac:dyDescent="0.25">
      <c r="A37" s="8">
        <v>34</v>
      </c>
      <c r="B37" s="8">
        <v>20.0106</v>
      </c>
      <c r="C37" s="8">
        <v>84.970299999999995</v>
      </c>
      <c r="D37" s="8" t="s">
        <v>7</v>
      </c>
      <c r="E37" s="8" t="s">
        <v>93</v>
      </c>
      <c r="F37" s="8">
        <v>2</v>
      </c>
      <c r="G37" s="8">
        <v>1969.51</v>
      </c>
      <c r="H37" s="8" t="s">
        <v>126</v>
      </c>
      <c r="I37" s="3">
        <f t="shared" si="0"/>
        <v>1.75</v>
      </c>
      <c r="J37" s="11">
        <f t="shared" si="1"/>
        <v>2719.8933099999999</v>
      </c>
      <c r="K37" s="11">
        <f t="shared" si="2"/>
        <v>2384.2888059999996</v>
      </c>
      <c r="L37" s="11">
        <f t="shared" si="3"/>
        <v>1994.3258259999998</v>
      </c>
      <c r="M37" s="11">
        <f t="shared" si="4"/>
        <v>1590.7732269999999</v>
      </c>
      <c r="N37" s="11">
        <f t="shared" si="5"/>
        <v>1119.2725330000001</v>
      </c>
      <c r="O37" s="11">
        <f t="shared" si="6"/>
        <v>1119.2725330000001</v>
      </c>
      <c r="P37" s="11">
        <f t="shared" si="7"/>
        <v>3446.6424999999999</v>
      </c>
      <c r="Q37" s="11">
        <f t="shared" si="8"/>
        <v>3446.6424999999999</v>
      </c>
      <c r="R37" s="11">
        <f t="shared" si="9"/>
        <v>3446.6424999999999</v>
      </c>
      <c r="S37" s="11">
        <f t="shared" si="10"/>
        <v>3446.6424999999999</v>
      </c>
      <c r="T37" s="11">
        <f t="shared" si="11"/>
        <v>3194.3482690000001</v>
      </c>
      <c r="U37" s="11">
        <f t="shared" si="12"/>
        <v>2970.4149819999998</v>
      </c>
      <c r="V37" s="13">
        <f t="shared" si="13"/>
        <v>3446.6424999999999</v>
      </c>
      <c r="X37" s="30"/>
    </row>
    <row r="38" spans="1:24" x14ac:dyDescent="0.25">
      <c r="A38" s="8">
        <v>35</v>
      </c>
      <c r="B38" s="8">
        <v>20.008700000000001</v>
      </c>
      <c r="C38" s="8">
        <v>84.973600000000005</v>
      </c>
      <c r="D38" s="8" t="s">
        <v>7</v>
      </c>
      <c r="E38" s="8" t="s">
        <v>93</v>
      </c>
      <c r="F38" s="8">
        <v>2</v>
      </c>
      <c r="G38" s="8">
        <v>1962.42</v>
      </c>
      <c r="H38" s="8" t="s">
        <v>55</v>
      </c>
      <c r="I38" s="3">
        <f t="shared" si="0"/>
        <v>1.75</v>
      </c>
      <c r="J38" s="11">
        <f t="shared" si="1"/>
        <v>2710.1020200000003</v>
      </c>
      <c r="K38" s="11">
        <f t="shared" si="2"/>
        <v>2375.7056520000001</v>
      </c>
      <c r="L38" s="11">
        <f t="shared" si="3"/>
        <v>1987.1464919999999</v>
      </c>
      <c r="M38" s="11">
        <f t="shared" si="4"/>
        <v>1585.046634</v>
      </c>
      <c r="N38" s="11">
        <f t="shared" si="5"/>
        <v>1115.2432860000001</v>
      </c>
      <c r="O38" s="11">
        <f t="shared" si="6"/>
        <v>1115.2432860000001</v>
      </c>
      <c r="P38" s="11">
        <f t="shared" si="7"/>
        <v>3434.2350000000001</v>
      </c>
      <c r="Q38" s="11">
        <f t="shared" si="8"/>
        <v>3434.2350000000001</v>
      </c>
      <c r="R38" s="11">
        <f t="shared" si="9"/>
        <v>3434.2350000000001</v>
      </c>
      <c r="S38" s="11">
        <f t="shared" si="10"/>
        <v>3434.2350000000001</v>
      </c>
      <c r="T38" s="11">
        <f t="shared" si="11"/>
        <v>3182.8489980000004</v>
      </c>
      <c r="U38" s="11">
        <f t="shared" si="12"/>
        <v>2959.7218440000001</v>
      </c>
      <c r="V38" s="13">
        <f t="shared" si="13"/>
        <v>3434.2350000000001</v>
      </c>
      <c r="X38" s="30"/>
    </row>
    <row r="39" spans="1:24" x14ac:dyDescent="0.25">
      <c r="A39" s="8">
        <v>36</v>
      </c>
      <c r="B39" s="8">
        <v>20.011600000000001</v>
      </c>
      <c r="C39" s="8">
        <v>84.975899999999996</v>
      </c>
      <c r="D39" s="8" t="s">
        <v>7</v>
      </c>
      <c r="E39" s="8" t="s">
        <v>93</v>
      </c>
      <c r="F39" s="8">
        <v>3</v>
      </c>
      <c r="G39" s="8">
        <v>2145.2800000000002</v>
      </c>
      <c r="H39" s="8" t="s">
        <v>55</v>
      </c>
      <c r="I39" s="3">
        <f t="shared" si="0"/>
        <v>2.75</v>
      </c>
      <c r="J39" s="11">
        <f t="shared" si="1"/>
        <v>5107.9116800000011</v>
      </c>
      <c r="K39" s="11">
        <f t="shared" si="2"/>
        <v>4742.3559679999998</v>
      </c>
      <c r="L39" s="11">
        <f t="shared" si="3"/>
        <v>4317.5905280000006</v>
      </c>
      <c r="M39" s="11">
        <f t="shared" si="4"/>
        <v>3878.0226560000006</v>
      </c>
      <c r="N39" s="11">
        <f t="shared" si="5"/>
        <v>3364.4426240000003</v>
      </c>
      <c r="O39" s="11">
        <f t="shared" si="6"/>
        <v>3364.4426240000003</v>
      </c>
      <c r="P39" s="11">
        <f t="shared" si="7"/>
        <v>5899.52</v>
      </c>
      <c r="Q39" s="11">
        <f t="shared" si="8"/>
        <v>5899.52</v>
      </c>
      <c r="R39" s="11">
        <f t="shared" si="9"/>
        <v>5899.52</v>
      </c>
      <c r="S39" s="11">
        <f t="shared" si="10"/>
        <v>5899.52</v>
      </c>
      <c r="T39" s="11">
        <f t="shared" si="11"/>
        <v>5624.709632000001</v>
      </c>
      <c r="U39" s="11">
        <f t="shared" si="12"/>
        <v>5380.7912960000003</v>
      </c>
      <c r="V39" s="13">
        <f t="shared" si="13"/>
        <v>5899.52</v>
      </c>
      <c r="X39" s="30"/>
    </row>
    <row r="40" spans="1:24" x14ac:dyDescent="0.25">
      <c r="A40" s="8">
        <v>37</v>
      </c>
      <c r="B40" s="8">
        <v>20.010300000000001</v>
      </c>
      <c r="C40" s="8">
        <v>84.975499999999997</v>
      </c>
      <c r="D40" s="8" t="s">
        <v>7</v>
      </c>
      <c r="E40" s="8" t="s">
        <v>93</v>
      </c>
      <c r="F40" s="8">
        <v>2</v>
      </c>
      <c r="G40" s="8">
        <v>757.34</v>
      </c>
      <c r="H40" s="8" t="s">
        <v>55</v>
      </c>
      <c r="I40" s="3">
        <f t="shared" si="0"/>
        <v>1.75</v>
      </c>
      <c r="J40" s="11">
        <f t="shared" si="1"/>
        <v>1045.88654</v>
      </c>
      <c r="K40" s="11">
        <f t="shared" si="2"/>
        <v>916.83580399999994</v>
      </c>
      <c r="L40" s="11">
        <f t="shared" si="3"/>
        <v>766.88248399999998</v>
      </c>
      <c r="M40" s="11">
        <f t="shared" si="4"/>
        <v>611.70351800000003</v>
      </c>
      <c r="N40" s="11">
        <f t="shared" si="5"/>
        <v>430.39632200000005</v>
      </c>
      <c r="O40" s="11">
        <f t="shared" si="6"/>
        <v>430.39632200000005</v>
      </c>
      <c r="P40" s="11">
        <f t="shared" si="7"/>
        <v>1325.345</v>
      </c>
      <c r="Q40" s="11">
        <f t="shared" si="8"/>
        <v>1325.345</v>
      </c>
      <c r="R40" s="11">
        <f t="shared" si="9"/>
        <v>1325.345</v>
      </c>
      <c r="S40" s="11">
        <f t="shared" si="10"/>
        <v>1325.345</v>
      </c>
      <c r="T40" s="11">
        <f t="shared" si="11"/>
        <v>1228.3297460000001</v>
      </c>
      <c r="U40" s="11">
        <f t="shared" si="12"/>
        <v>1142.220188</v>
      </c>
      <c r="V40" s="13">
        <f t="shared" si="13"/>
        <v>1325.345</v>
      </c>
      <c r="X40" s="30"/>
    </row>
    <row r="41" spans="1:24" x14ac:dyDescent="0.25">
      <c r="A41" s="8">
        <v>38</v>
      </c>
      <c r="B41" s="8">
        <v>20.019300000000001</v>
      </c>
      <c r="C41" s="8">
        <v>84.973200000000006</v>
      </c>
      <c r="D41" s="8" t="s">
        <v>7</v>
      </c>
      <c r="E41" s="8" t="s">
        <v>93</v>
      </c>
      <c r="F41" s="8">
        <v>3</v>
      </c>
      <c r="G41" s="8">
        <v>5322.6</v>
      </c>
      <c r="H41" s="8" t="s">
        <v>126</v>
      </c>
      <c r="I41" s="3">
        <f t="shared" si="0"/>
        <v>2.75</v>
      </c>
      <c r="J41" s="11">
        <f t="shared" si="1"/>
        <v>12673.110600000002</v>
      </c>
      <c r="K41" s="11">
        <f t="shared" si="2"/>
        <v>11766.13956</v>
      </c>
      <c r="L41" s="11">
        <f t="shared" si="3"/>
        <v>10712.26476</v>
      </c>
      <c r="M41" s="11">
        <f t="shared" si="4"/>
        <v>9621.664020000002</v>
      </c>
      <c r="N41" s="11">
        <f t="shared" si="5"/>
        <v>8347.4335800000008</v>
      </c>
      <c r="O41" s="11">
        <f t="shared" si="6"/>
        <v>8347.4335800000008</v>
      </c>
      <c r="P41" s="11">
        <f t="shared" si="7"/>
        <v>14637.150000000001</v>
      </c>
      <c r="Q41" s="11">
        <f t="shared" si="8"/>
        <v>14637.150000000001</v>
      </c>
      <c r="R41" s="11">
        <f t="shared" si="9"/>
        <v>14637.150000000001</v>
      </c>
      <c r="S41" s="11">
        <f t="shared" si="10"/>
        <v>14637.150000000001</v>
      </c>
      <c r="T41" s="11">
        <f t="shared" si="11"/>
        <v>13955.324940000002</v>
      </c>
      <c r="U41" s="11">
        <f t="shared" si="12"/>
        <v>13350.145320000001</v>
      </c>
      <c r="V41" s="13">
        <f t="shared" si="13"/>
        <v>14637.150000000001</v>
      </c>
      <c r="X41" s="30"/>
    </row>
    <row r="42" spans="1:24" x14ac:dyDescent="0.25">
      <c r="A42" s="8">
        <v>39</v>
      </c>
      <c r="B42" s="8">
        <v>20.0396</v>
      </c>
      <c r="C42" s="8">
        <v>84.975200000000001</v>
      </c>
      <c r="D42" s="8" t="s">
        <v>7</v>
      </c>
      <c r="E42" s="8" t="s">
        <v>93</v>
      </c>
      <c r="F42" s="8">
        <v>2</v>
      </c>
      <c r="G42" s="8">
        <v>385.63</v>
      </c>
      <c r="H42" s="8" t="s">
        <v>55</v>
      </c>
      <c r="I42" s="3">
        <f t="shared" si="0"/>
        <v>1.75</v>
      </c>
      <c r="J42" s="11">
        <f t="shared" si="1"/>
        <v>532.55502999999999</v>
      </c>
      <c r="K42" s="11">
        <f t="shared" si="2"/>
        <v>466.84367799999995</v>
      </c>
      <c r="L42" s="11">
        <f t="shared" si="3"/>
        <v>390.48893799999996</v>
      </c>
      <c r="M42" s="11">
        <f t="shared" si="4"/>
        <v>311.47335099999998</v>
      </c>
      <c r="N42" s="11">
        <f t="shared" si="5"/>
        <v>219.15352900000002</v>
      </c>
      <c r="O42" s="11">
        <f t="shared" si="6"/>
        <v>219.15352900000002</v>
      </c>
      <c r="P42" s="11">
        <f t="shared" si="7"/>
        <v>674.85249999999996</v>
      </c>
      <c r="Q42" s="11">
        <f t="shared" si="8"/>
        <v>674.85249999999996</v>
      </c>
      <c r="R42" s="11">
        <f t="shared" si="9"/>
        <v>674.85249999999996</v>
      </c>
      <c r="S42" s="11">
        <f t="shared" si="10"/>
        <v>674.85249999999996</v>
      </c>
      <c r="T42" s="11">
        <f t="shared" si="11"/>
        <v>625.45329700000002</v>
      </c>
      <c r="U42" s="11">
        <f t="shared" si="12"/>
        <v>581.60716600000001</v>
      </c>
      <c r="V42" s="13">
        <f t="shared" si="13"/>
        <v>674.85249999999996</v>
      </c>
      <c r="X42" s="30"/>
    </row>
    <row r="43" spans="1:24" x14ac:dyDescent="0.25">
      <c r="A43" s="8">
        <v>40</v>
      </c>
      <c r="B43" s="8">
        <v>20.0318</v>
      </c>
      <c r="C43" s="8">
        <v>84.976699999999994</v>
      </c>
      <c r="D43" s="8" t="s">
        <v>7</v>
      </c>
      <c r="E43" s="8" t="s">
        <v>93</v>
      </c>
      <c r="F43" s="8">
        <v>2</v>
      </c>
      <c r="G43" s="8">
        <v>343.77</v>
      </c>
      <c r="H43" s="8" t="s">
        <v>55</v>
      </c>
      <c r="I43" s="3">
        <f t="shared" si="0"/>
        <v>1.75</v>
      </c>
      <c r="J43" s="11">
        <f t="shared" si="1"/>
        <v>474.74636999999996</v>
      </c>
      <c r="K43" s="11">
        <f t="shared" si="2"/>
        <v>416.16796199999993</v>
      </c>
      <c r="L43" s="11">
        <f t="shared" si="3"/>
        <v>348.10150199999998</v>
      </c>
      <c r="M43" s="11">
        <f t="shared" si="4"/>
        <v>277.66302899999999</v>
      </c>
      <c r="N43" s="11">
        <f t="shared" si="5"/>
        <v>195.36449099999999</v>
      </c>
      <c r="O43" s="11">
        <f t="shared" si="6"/>
        <v>195.36449099999999</v>
      </c>
      <c r="P43" s="11">
        <f t="shared" si="7"/>
        <v>601.59749999999997</v>
      </c>
      <c r="Q43" s="11">
        <f t="shared" si="8"/>
        <v>601.59749999999997</v>
      </c>
      <c r="R43" s="11">
        <f t="shared" si="9"/>
        <v>601.59749999999997</v>
      </c>
      <c r="S43" s="11">
        <f t="shared" si="10"/>
        <v>601.59749999999997</v>
      </c>
      <c r="T43" s="11">
        <f t="shared" si="11"/>
        <v>557.560563</v>
      </c>
      <c r="U43" s="11">
        <f t="shared" si="12"/>
        <v>518.47391399999992</v>
      </c>
      <c r="V43" s="13">
        <f t="shared" si="13"/>
        <v>601.59749999999997</v>
      </c>
      <c r="X43" s="30"/>
    </row>
    <row r="44" spans="1:24" x14ac:dyDescent="0.25">
      <c r="A44" s="8">
        <v>41</v>
      </c>
      <c r="B44" s="8">
        <v>20.0258</v>
      </c>
      <c r="C44" s="8">
        <v>84.972899999999996</v>
      </c>
      <c r="D44" s="8" t="s">
        <v>7</v>
      </c>
      <c r="E44" s="8" t="s">
        <v>93</v>
      </c>
      <c r="F44" s="8">
        <v>4</v>
      </c>
      <c r="G44" s="8">
        <v>1412.6</v>
      </c>
      <c r="H44" s="8" t="s">
        <v>126</v>
      </c>
      <c r="I44" s="3">
        <f t="shared" si="0"/>
        <v>3.75</v>
      </c>
      <c r="J44" s="11">
        <f t="shared" si="1"/>
        <v>4776.0006000000003</v>
      </c>
      <c r="K44" s="11">
        <f t="shared" si="2"/>
        <v>4535.2935599999992</v>
      </c>
      <c r="L44" s="11">
        <f t="shared" si="3"/>
        <v>4255.5987599999999</v>
      </c>
      <c r="M44" s="11">
        <f t="shared" si="4"/>
        <v>3966.1570199999996</v>
      </c>
      <c r="N44" s="11">
        <f t="shared" si="5"/>
        <v>3627.9805799999995</v>
      </c>
      <c r="O44" s="11">
        <f t="shared" si="6"/>
        <v>3627.9805799999995</v>
      </c>
      <c r="P44" s="11">
        <f t="shared" si="7"/>
        <v>5297.25</v>
      </c>
      <c r="Q44" s="11">
        <f t="shared" si="8"/>
        <v>5297.25</v>
      </c>
      <c r="R44" s="11">
        <f t="shared" si="9"/>
        <v>5297.25</v>
      </c>
      <c r="S44" s="11">
        <f t="shared" si="10"/>
        <v>5297.25</v>
      </c>
      <c r="T44" s="11">
        <f t="shared" si="11"/>
        <v>5116.29594</v>
      </c>
      <c r="U44" s="11">
        <f t="shared" si="12"/>
        <v>4955.6833200000001</v>
      </c>
      <c r="V44" s="13">
        <f t="shared" si="13"/>
        <v>5297.25</v>
      </c>
      <c r="X44" s="30"/>
    </row>
    <row r="45" spans="1:24" x14ac:dyDescent="0.25">
      <c r="A45" s="8">
        <v>42</v>
      </c>
      <c r="B45" s="8">
        <v>20.020099999999999</v>
      </c>
      <c r="C45" s="8">
        <v>84.978800000000007</v>
      </c>
      <c r="D45" s="8" t="s">
        <v>7</v>
      </c>
      <c r="E45" s="8" t="s">
        <v>93</v>
      </c>
      <c r="F45" s="8">
        <v>2</v>
      </c>
      <c r="G45" s="8">
        <v>1584.45</v>
      </c>
      <c r="H45" s="8" t="s">
        <v>55</v>
      </c>
      <c r="I45" s="3">
        <f t="shared" si="0"/>
        <v>1.75</v>
      </c>
      <c r="J45" s="11">
        <f t="shared" si="1"/>
        <v>2188.12545</v>
      </c>
      <c r="K45" s="11">
        <f t="shared" si="2"/>
        <v>1918.1351699999998</v>
      </c>
      <c r="L45" s="11">
        <f t="shared" si="3"/>
        <v>1604.41407</v>
      </c>
      <c r="M45" s="11">
        <f t="shared" si="4"/>
        <v>1279.7602649999999</v>
      </c>
      <c r="N45" s="11">
        <f t="shared" si="5"/>
        <v>900.44293500000003</v>
      </c>
      <c r="O45" s="11">
        <f t="shared" si="6"/>
        <v>900.44293500000003</v>
      </c>
      <c r="P45" s="11">
        <f t="shared" si="7"/>
        <v>2772.7874999999999</v>
      </c>
      <c r="Q45" s="11">
        <f t="shared" si="8"/>
        <v>2772.7874999999999</v>
      </c>
      <c r="R45" s="11">
        <f t="shared" si="9"/>
        <v>2772.7874999999999</v>
      </c>
      <c r="S45" s="11">
        <f t="shared" si="10"/>
        <v>2772.7874999999999</v>
      </c>
      <c r="T45" s="11">
        <f t="shared" si="11"/>
        <v>2569.8194550000003</v>
      </c>
      <c r="U45" s="11">
        <f t="shared" si="12"/>
        <v>2389.6674900000003</v>
      </c>
      <c r="V45" s="13">
        <f t="shared" si="13"/>
        <v>2772.7874999999999</v>
      </c>
      <c r="X45" s="30"/>
    </row>
    <row r="46" spans="1:24" x14ac:dyDescent="0.25">
      <c r="A46" s="8">
        <v>43</v>
      </c>
      <c r="B46" s="8">
        <v>20.014199999999999</v>
      </c>
      <c r="C46" s="8">
        <v>84.985299999999995</v>
      </c>
      <c r="D46" s="8" t="s">
        <v>7</v>
      </c>
      <c r="E46" s="8" t="s">
        <v>93</v>
      </c>
      <c r="F46" s="8">
        <v>4</v>
      </c>
      <c r="G46" s="8">
        <v>2414.85</v>
      </c>
      <c r="H46" s="8" t="s">
        <v>57</v>
      </c>
      <c r="I46" s="3">
        <f t="shared" si="0"/>
        <v>3.75</v>
      </c>
      <c r="J46" s="11">
        <f t="shared" si="1"/>
        <v>8164.6078500000003</v>
      </c>
      <c r="K46" s="11">
        <f t="shared" si="2"/>
        <v>7753.1174099999998</v>
      </c>
      <c r="L46" s="11">
        <f t="shared" si="3"/>
        <v>7274.9771099999998</v>
      </c>
      <c r="M46" s="11">
        <f t="shared" si="4"/>
        <v>6780.1743450000004</v>
      </c>
      <c r="N46" s="11">
        <f t="shared" si="5"/>
        <v>6202.0592549999992</v>
      </c>
      <c r="O46" s="11">
        <f t="shared" si="6"/>
        <v>6202.0592549999992</v>
      </c>
      <c r="P46" s="11">
        <f t="shared" si="7"/>
        <v>9055.6875</v>
      </c>
      <c r="Q46" s="11">
        <f t="shared" si="8"/>
        <v>9055.6875</v>
      </c>
      <c r="R46" s="11">
        <f t="shared" si="9"/>
        <v>9055.6875</v>
      </c>
      <c r="S46" s="11">
        <f t="shared" si="10"/>
        <v>9055.6875</v>
      </c>
      <c r="T46" s="11">
        <f t="shared" si="11"/>
        <v>8746.3452149999994</v>
      </c>
      <c r="U46" s="11">
        <f t="shared" si="12"/>
        <v>8471.7767700000004</v>
      </c>
      <c r="V46" s="13">
        <f t="shared" si="13"/>
        <v>9055.6875</v>
      </c>
      <c r="X46" s="30"/>
    </row>
    <row r="47" spans="1:24" x14ac:dyDescent="0.25">
      <c r="A47" s="8">
        <v>44</v>
      </c>
      <c r="B47" s="8">
        <v>20.017099999999999</v>
      </c>
      <c r="C47" s="8">
        <v>84.983500000000006</v>
      </c>
      <c r="D47" s="8" t="s">
        <v>7</v>
      </c>
      <c r="E47" s="8" t="s">
        <v>93</v>
      </c>
      <c r="F47" s="8">
        <v>2</v>
      </c>
      <c r="G47" s="8">
        <v>426.4</v>
      </c>
      <c r="H47" s="8" t="s">
        <v>57</v>
      </c>
      <c r="I47" s="3">
        <f t="shared" si="0"/>
        <v>1.75</v>
      </c>
      <c r="J47" s="11">
        <f t="shared" si="1"/>
        <v>588.85839999999996</v>
      </c>
      <c r="K47" s="11">
        <f t="shared" si="2"/>
        <v>516.19983999999988</v>
      </c>
      <c r="L47" s="11">
        <f t="shared" si="3"/>
        <v>431.77263999999997</v>
      </c>
      <c r="M47" s="11">
        <f t="shared" si="4"/>
        <v>344.40328</v>
      </c>
      <c r="N47" s="11">
        <f t="shared" si="5"/>
        <v>242.32311999999999</v>
      </c>
      <c r="O47" s="11">
        <f t="shared" si="6"/>
        <v>242.32311999999999</v>
      </c>
      <c r="P47" s="11">
        <f t="shared" si="7"/>
        <v>746.19999999999993</v>
      </c>
      <c r="Q47" s="11">
        <f t="shared" si="8"/>
        <v>746.19999999999993</v>
      </c>
      <c r="R47" s="11">
        <f t="shared" si="9"/>
        <v>746.19999999999993</v>
      </c>
      <c r="S47" s="11">
        <f t="shared" si="10"/>
        <v>746.19999999999993</v>
      </c>
      <c r="T47" s="11">
        <f t="shared" si="11"/>
        <v>691.57816000000003</v>
      </c>
      <c r="U47" s="11">
        <f t="shared" si="12"/>
        <v>643.09647999999993</v>
      </c>
      <c r="V47" s="13">
        <f t="shared" si="13"/>
        <v>746.19999999999993</v>
      </c>
      <c r="X47" s="30"/>
    </row>
    <row r="48" spans="1:24" x14ac:dyDescent="0.25">
      <c r="A48" s="8">
        <v>45</v>
      </c>
      <c r="B48" s="8">
        <v>20.020299999999999</v>
      </c>
      <c r="C48" s="8">
        <v>84.981099999999998</v>
      </c>
      <c r="D48" s="8" t="s">
        <v>7</v>
      </c>
      <c r="E48" s="8" t="s">
        <v>93</v>
      </c>
      <c r="F48" s="8">
        <v>2</v>
      </c>
      <c r="G48" s="8">
        <v>1361.72</v>
      </c>
      <c r="H48" s="8" t="s">
        <v>57</v>
      </c>
      <c r="I48" s="3">
        <f t="shared" si="0"/>
        <v>1.75</v>
      </c>
      <c r="J48" s="11">
        <f t="shared" si="1"/>
        <v>1880.53532</v>
      </c>
      <c r="K48" s="11">
        <f t="shared" si="2"/>
        <v>1648.4982319999999</v>
      </c>
      <c r="L48" s="11">
        <f t="shared" si="3"/>
        <v>1378.8776719999998</v>
      </c>
      <c r="M48" s="11">
        <f t="shared" si="4"/>
        <v>1099.8612439999999</v>
      </c>
      <c r="N48" s="11">
        <f t="shared" si="5"/>
        <v>773.86547600000006</v>
      </c>
      <c r="O48" s="11">
        <f t="shared" si="6"/>
        <v>773.86547600000006</v>
      </c>
      <c r="P48" s="11">
        <f t="shared" si="7"/>
        <v>2383.0100000000002</v>
      </c>
      <c r="Q48" s="11">
        <f t="shared" si="8"/>
        <v>2383.0100000000002</v>
      </c>
      <c r="R48" s="11">
        <f t="shared" si="9"/>
        <v>2383.0100000000002</v>
      </c>
      <c r="S48" s="11">
        <f t="shared" si="10"/>
        <v>2383.0100000000002</v>
      </c>
      <c r="T48" s="11">
        <f t="shared" si="11"/>
        <v>2208.573668</v>
      </c>
      <c r="U48" s="11">
        <f t="shared" si="12"/>
        <v>2053.7461039999998</v>
      </c>
      <c r="V48" s="13">
        <f t="shared" si="13"/>
        <v>2383.0100000000002</v>
      </c>
      <c r="X48" s="30"/>
    </row>
    <row r="49" spans="1:24" x14ac:dyDescent="0.25">
      <c r="A49" s="8">
        <v>46</v>
      </c>
      <c r="B49" s="8">
        <v>20.027000000000001</v>
      </c>
      <c r="C49" s="8">
        <v>84.984499999999997</v>
      </c>
      <c r="D49" s="8" t="s">
        <v>7</v>
      </c>
      <c r="E49" s="8" t="s">
        <v>93</v>
      </c>
      <c r="F49" s="8">
        <v>3</v>
      </c>
      <c r="G49" s="8">
        <v>6139.81</v>
      </c>
      <c r="H49" s="8" t="s">
        <v>57</v>
      </c>
      <c r="I49" s="3">
        <f t="shared" si="0"/>
        <v>2.75</v>
      </c>
      <c r="J49" s="11">
        <f t="shared" si="1"/>
        <v>14618.887610000002</v>
      </c>
      <c r="K49" s="11">
        <f t="shared" si="2"/>
        <v>13572.663986</v>
      </c>
      <c r="L49" s="11">
        <f t="shared" si="3"/>
        <v>12356.981606000001</v>
      </c>
      <c r="M49" s="11">
        <f t="shared" si="4"/>
        <v>11098.934537000001</v>
      </c>
      <c r="N49" s="11">
        <f t="shared" si="5"/>
        <v>9629.0640230000008</v>
      </c>
      <c r="O49" s="11">
        <f t="shared" si="6"/>
        <v>9629.0640230000008</v>
      </c>
      <c r="P49" s="11">
        <f t="shared" si="7"/>
        <v>16884.477500000001</v>
      </c>
      <c r="Q49" s="11">
        <f t="shared" si="8"/>
        <v>16884.477500000001</v>
      </c>
      <c r="R49" s="11">
        <f t="shared" si="9"/>
        <v>16884.477500000001</v>
      </c>
      <c r="S49" s="11">
        <f t="shared" si="10"/>
        <v>16884.477500000001</v>
      </c>
      <c r="T49" s="11">
        <f t="shared" si="11"/>
        <v>16097.967839000003</v>
      </c>
      <c r="U49" s="11">
        <f t="shared" si="12"/>
        <v>15399.871442000001</v>
      </c>
      <c r="V49" s="13">
        <f t="shared" si="13"/>
        <v>16884.477500000001</v>
      </c>
      <c r="X49" s="30"/>
    </row>
    <row r="50" spans="1:24" x14ac:dyDescent="0.25">
      <c r="A50" s="8">
        <v>47</v>
      </c>
      <c r="B50" s="8">
        <v>20.029800000000002</v>
      </c>
      <c r="C50" s="8">
        <v>84.991799999999998</v>
      </c>
      <c r="D50" s="8" t="s">
        <v>7</v>
      </c>
      <c r="E50" s="8" t="s">
        <v>93</v>
      </c>
      <c r="F50" s="8">
        <v>4</v>
      </c>
      <c r="G50" s="8">
        <v>3819.1</v>
      </c>
      <c r="H50" s="8" t="s">
        <v>57</v>
      </c>
      <c r="I50" s="3">
        <f t="shared" si="0"/>
        <v>3.75</v>
      </c>
      <c r="J50" s="11">
        <f t="shared" si="1"/>
        <v>12912.3771</v>
      </c>
      <c r="K50" s="11">
        <f t="shared" si="2"/>
        <v>12261.60246</v>
      </c>
      <c r="L50" s="11">
        <f t="shared" si="3"/>
        <v>11505.42066</v>
      </c>
      <c r="M50" s="11">
        <f t="shared" si="4"/>
        <v>10722.887070000001</v>
      </c>
      <c r="N50" s="11">
        <f t="shared" si="5"/>
        <v>9808.5945299999985</v>
      </c>
      <c r="O50" s="11">
        <f t="shared" si="6"/>
        <v>9808.5945299999985</v>
      </c>
      <c r="P50" s="11">
        <f t="shared" si="7"/>
        <v>14321.625</v>
      </c>
      <c r="Q50" s="11">
        <f t="shared" si="8"/>
        <v>14321.625</v>
      </c>
      <c r="R50" s="11">
        <f t="shared" si="9"/>
        <v>14321.625</v>
      </c>
      <c r="S50" s="11">
        <f t="shared" si="10"/>
        <v>14321.625</v>
      </c>
      <c r="T50" s="11">
        <f t="shared" si="11"/>
        <v>13832.398290000001</v>
      </c>
      <c r="U50" s="11">
        <f t="shared" si="12"/>
        <v>13398.16662</v>
      </c>
      <c r="V50" s="13">
        <f t="shared" si="13"/>
        <v>14321.625</v>
      </c>
      <c r="X50" s="30"/>
    </row>
    <row r="51" spans="1:24" x14ac:dyDescent="0.25">
      <c r="A51" s="8">
        <v>48</v>
      </c>
      <c r="B51" s="8">
        <v>20.0319</v>
      </c>
      <c r="C51" s="8">
        <v>84.992000000000004</v>
      </c>
      <c r="D51" s="8" t="s">
        <v>7</v>
      </c>
      <c r="E51" s="8" t="s">
        <v>93</v>
      </c>
      <c r="F51" s="8">
        <v>4</v>
      </c>
      <c r="G51" s="8">
        <v>4273.8500000000004</v>
      </c>
      <c r="H51" s="8" t="s">
        <v>57</v>
      </c>
      <c r="I51" s="3">
        <f t="shared" si="0"/>
        <v>3.75</v>
      </c>
      <c r="J51" s="11">
        <f t="shared" si="1"/>
        <v>14449.886850000003</v>
      </c>
      <c r="K51" s="11">
        <f t="shared" si="2"/>
        <v>13721.622810000001</v>
      </c>
      <c r="L51" s="11">
        <f t="shared" si="3"/>
        <v>12875.400510000001</v>
      </c>
      <c r="M51" s="11">
        <f t="shared" si="4"/>
        <v>11999.688645000002</v>
      </c>
      <c r="N51" s="11">
        <f t="shared" si="5"/>
        <v>10976.528955</v>
      </c>
      <c r="O51" s="11">
        <f t="shared" si="6"/>
        <v>10976.528955</v>
      </c>
      <c r="P51" s="11">
        <f t="shared" si="7"/>
        <v>16026.937500000002</v>
      </c>
      <c r="Q51" s="11">
        <f t="shared" si="8"/>
        <v>16026.937500000002</v>
      </c>
      <c r="R51" s="11">
        <f t="shared" si="9"/>
        <v>16026.937500000002</v>
      </c>
      <c r="S51" s="11">
        <f t="shared" si="10"/>
        <v>16026.937500000002</v>
      </c>
      <c r="T51" s="11">
        <f t="shared" si="11"/>
        <v>15479.457315000001</v>
      </c>
      <c r="U51" s="11">
        <f t="shared" si="12"/>
        <v>14993.520570000001</v>
      </c>
      <c r="V51" s="13">
        <f t="shared" si="13"/>
        <v>16026.937500000002</v>
      </c>
      <c r="X51" s="30"/>
    </row>
    <row r="52" spans="1:24" x14ac:dyDescent="0.25">
      <c r="A52" s="8">
        <v>49</v>
      </c>
      <c r="B52" s="8">
        <v>20.033300000000001</v>
      </c>
      <c r="C52" s="8">
        <v>84.991600000000005</v>
      </c>
      <c r="D52" s="8" t="s">
        <v>7</v>
      </c>
      <c r="E52" s="8" t="s">
        <v>93</v>
      </c>
      <c r="F52" s="8">
        <v>4</v>
      </c>
      <c r="G52" s="8">
        <v>1605.13</v>
      </c>
      <c r="H52" s="8" t="s">
        <v>57</v>
      </c>
      <c r="I52" s="3">
        <f t="shared" si="0"/>
        <v>3.75</v>
      </c>
      <c r="J52" s="11">
        <f t="shared" si="1"/>
        <v>5426.9445300000007</v>
      </c>
      <c r="K52" s="11">
        <f t="shared" si="2"/>
        <v>5153.430378</v>
      </c>
      <c r="L52" s="11">
        <f t="shared" si="3"/>
        <v>4835.614638</v>
      </c>
      <c r="M52" s="11">
        <f t="shared" si="4"/>
        <v>4506.7235010000004</v>
      </c>
      <c r="N52" s="11">
        <f t="shared" si="5"/>
        <v>4122.455379</v>
      </c>
      <c r="O52" s="11">
        <f t="shared" si="6"/>
        <v>4122.455379</v>
      </c>
      <c r="P52" s="11">
        <f t="shared" si="7"/>
        <v>6019.2375000000002</v>
      </c>
      <c r="Q52" s="11">
        <f t="shared" si="8"/>
        <v>6019.2375000000002</v>
      </c>
      <c r="R52" s="11">
        <f t="shared" si="9"/>
        <v>6019.2375000000002</v>
      </c>
      <c r="S52" s="11">
        <f t="shared" si="10"/>
        <v>6019.2375000000002</v>
      </c>
      <c r="T52" s="11">
        <f t="shared" si="11"/>
        <v>5813.6203470000009</v>
      </c>
      <c r="U52" s="11">
        <f t="shared" si="12"/>
        <v>5631.1170660000007</v>
      </c>
      <c r="V52" s="13">
        <f t="shared" si="13"/>
        <v>6019.2375000000002</v>
      </c>
      <c r="X52" s="30"/>
    </row>
    <row r="53" spans="1:24" x14ac:dyDescent="0.25">
      <c r="A53" s="8">
        <v>50</v>
      </c>
      <c r="B53" s="8">
        <v>20.033100000000001</v>
      </c>
      <c r="C53" s="8">
        <v>85.001199999999997</v>
      </c>
      <c r="D53" s="8" t="s">
        <v>7</v>
      </c>
      <c r="E53" s="8" t="s">
        <v>93</v>
      </c>
      <c r="F53" s="8">
        <v>4</v>
      </c>
      <c r="G53" s="8">
        <v>3287.38</v>
      </c>
      <c r="H53" s="8" t="s">
        <v>57</v>
      </c>
      <c r="I53" s="3">
        <f t="shared" si="0"/>
        <v>3.75</v>
      </c>
      <c r="J53" s="11">
        <f t="shared" si="1"/>
        <v>11114.631780000002</v>
      </c>
      <c r="K53" s="11">
        <f t="shared" si="2"/>
        <v>10554.462228</v>
      </c>
      <c r="L53" s="11">
        <f t="shared" si="3"/>
        <v>9903.5609879999993</v>
      </c>
      <c r="M53" s="11">
        <f t="shared" si="4"/>
        <v>9229.9768260000001</v>
      </c>
      <c r="N53" s="11">
        <f t="shared" si="5"/>
        <v>8442.9780539999992</v>
      </c>
      <c r="O53" s="11">
        <f t="shared" si="6"/>
        <v>8442.9780539999992</v>
      </c>
      <c r="P53" s="11">
        <f t="shared" si="7"/>
        <v>12327.675000000001</v>
      </c>
      <c r="Q53" s="11">
        <f t="shared" si="8"/>
        <v>12327.675000000001</v>
      </c>
      <c r="R53" s="11">
        <f t="shared" si="9"/>
        <v>12327.675000000001</v>
      </c>
      <c r="S53" s="11">
        <f t="shared" si="10"/>
        <v>12327.675000000001</v>
      </c>
      <c r="T53" s="11">
        <f t="shared" si="11"/>
        <v>11906.561622000001</v>
      </c>
      <c r="U53" s="11">
        <f t="shared" si="12"/>
        <v>11532.786516</v>
      </c>
      <c r="V53" s="13">
        <f t="shared" si="13"/>
        <v>12327.675000000001</v>
      </c>
      <c r="X53" s="30"/>
    </row>
    <row r="54" spans="1:24" x14ac:dyDescent="0.25">
      <c r="A54" s="8">
        <v>51</v>
      </c>
      <c r="B54" s="8">
        <v>20.032</v>
      </c>
      <c r="C54" s="8">
        <v>85.004199999999997</v>
      </c>
      <c r="D54" s="8" t="s">
        <v>7</v>
      </c>
      <c r="E54" s="8" t="s">
        <v>93</v>
      </c>
      <c r="F54" s="8">
        <v>4</v>
      </c>
      <c r="G54" s="8">
        <v>6680.23</v>
      </c>
      <c r="H54" s="8" t="s">
        <v>57</v>
      </c>
      <c r="I54" s="3">
        <f t="shared" si="0"/>
        <v>3.75</v>
      </c>
      <c r="J54" s="11">
        <f t="shared" si="1"/>
        <v>22585.857629999999</v>
      </c>
      <c r="K54" s="11">
        <f t="shared" si="2"/>
        <v>21447.546437999998</v>
      </c>
      <c r="L54" s="11">
        <f t="shared" si="3"/>
        <v>20124.860897999999</v>
      </c>
      <c r="M54" s="11">
        <f t="shared" si="4"/>
        <v>18756.081771000001</v>
      </c>
      <c r="N54" s="11">
        <f t="shared" si="5"/>
        <v>17156.834708999999</v>
      </c>
      <c r="O54" s="11">
        <f t="shared" si="6"/>
        <v>17156.834708999999</v>
      </c>
      <c r="P54" s="11">
        <f t="shared" si="7"/>
        <v>25050.862499999999</v>
      </c>
      <c r="Q54" s="11">
        <f t="shared" si="8"/>
        <v>25050.862499999999</v>
      </c>
      <c r="R54" s="11">
        <f t="shared" si="9"/>
        <v>25050.862499999999</v>
      </c>
      <c r="S54" s="11">
        <f t="shared" si="10"/>
        <v>25050.862499999999</v>
      </c>
      <c r="T54" s="11">
        <f t="shared" si="11"/>
        <v>24195.125036999998</v>
      </c>
      <c r="U54" s="11">
        <f t="shared" si="12"/>
        <v>23435.582886</v>
      </c>
      <c r="V54" s="13">
        <f t="shared" si="13"/>
        <v>25050.862499999999</v>
      </c>
      <c r="X54" s="30"/>
    </row>
    <row r="55" spans="1:24" x14ac:dyDescent="0.25">
      <c r="A55" s="8">
        <v>52</v>
      </c>
      <c r="B55" s="8">
        <v>20.032299999999999</v>
      </c>
      <c r="C55" s="8">
        <v>85.007300000000001</v>
      </c>
      <c r="D55" s="8" t="s">
        <v>7</v>
      </c>
      <c r="E55" s="8" t="s">
        <v>93</v>
      </c>
      <c r="F55" s="8">
        <v>2</v>
      </c>
      <c r="G55" s="8">
        <v>897.83</v>
      </c>
      <c r="H55" s="8" t="s">
        <v>57</v>
      </c>
      <c r="I55" s="3">
        <f t="shared" si="0"/>
        <v>1.75</v>
      </c>
      <c r="J55" s="11">
        <f t="shared" si="1"/>
        <v>1239.9032300000001</v>
      </c>
      <c r="K55" s="11">
        <f t="shared" si="2"/>
        <v>1086.912998</v>
      </c>
      <c r="L55" s="11">
        <f t="shared" si="3"/>
        <v>909.14265799999998</v>
      </c>
      <c r="M55" s="11">
        <f t="shared" si="4"/>
        <v>725.17729099999997</v>
      </c>
      <c r="N55" s="11">
        <f t="shared" si="5"/>
        <v>510.23678900000004</v>
      </c>
      <c r="O55" s="11">
        <f t="shared" si="6"/>
        <v>510.23678900000004</v>
      </c>
      <c r="P55" s="11">
        <f t="shared" si="7"/>
        <v>1571.2025000000001</v>
      </c>
      <c r="Q55" s="11">
        <f t="shared" si="8"/>
        <v>1571.2025000000001</v>
      </c>
      <c r="R55" s="11">
        <f t="shared" si="9"/>
        <v>1571.2025000000001</v>
      </c>
      <c r="S55" s="11">
        <f t="shared" si="10"/>
        <v>1571.2025000000001</v>
      </c>
      <c r="T55" s="11">
        <f t="shared" si="11"/>
        <v>1456.1904770000001</v>
      </c>
      <c r="U55" s="11">
        <f t="shared" si="12"/>
        <v>1354.1072060000001</v>
      </c>
      <c r="V55" s="13">
        <f t="shared" si="13"/>
        <v>1571.2025000000001</v>
      </c>
      <c r="X55" s="30"/>
    </row>
    <row r="56" spans="1:24" x14ac:dyDescent="0.25">
      <c r="A56" s="8">
        <v>53</v>
      </c>
      <c r="B56" s="8">
        <v>20.030899999999999</v>
      </c>
      <c r="C56" s="8">
        <v>85.012100000000004</v>
      </c>
      <c r="D56" s="8" t="s">
        <v>7</v>
      </c>
      <c r="E56" s="8" t="s">
        <v>93</v>
      </c>
      <c r="F56" s="8">
        <v>2.5</v>
      </c>
      <c r="G56" s="8">
        <v>411.49</v>
      </c>
      <c r="H56" s="8" t="s">
        <v>57</v>
      </c>
      <c r="I56" s="3">
        <f t="shared" si="0"/>
        <v>2.25</v>
      </c>
      <c r="J56" s="11">
        <f t="shared" si="1"/>
        <v>774.01269000000002</v>
      </c>
      <c r="K56" s="11">
        <f t="shared" si="2"/>
        <v>703.89479399999993</v>
      </c>
      <c r="L56" s="11">
        <f t="shared" si="3"/>
        <v>622.41977399999996</v>
      </c>
      <c r="M56" s="11">
        <f t="shared" si="4"/>
        <v>538.10547300000007</v>
      </c>
      <c r="N56" s="11">
        <f t="shared" si="5"/>
        <v>439.59476700000005</v>
      </c>
      <c r="O56" s="11">
        <f t="shared" si="6"/>
        <v>439.59476700000005</v>
      </c>
      <c r="P56" s="11">
        <f t="shared" si="7"/>
        <v>925.85249999999996</v>
      </c>
      <c r="Q56" s="11">
        <f t="shared" si="8"/>
        <v>925.85249999999996</v>
      </c>
      <c r="R56" s="11">
        <f t="shared" si="9"/>
        <v>925.85249999999996</v>
      </c>
      <c r="S56" s="11">
        <f t="shared" si="10"/>
        <v>925.85249999999996</v>
      </c>
      <c r="T56" s="11">
        <f t="shared" si="11"/>
        <v>873.1406310000001</v>
      </c>
      <c r="U56" s="11">
        <f t="shared" si="12"/>
        <v>826.35421800000006</v>
      </c>
      <c r="V56" s="13">
        <f t="shared" si="13"/>
        <v>925.85249999999996</v>
      </c>
      <c r="X56" s="30"/>
    </row>
    <row r="57" spans="1:24" x14ac:dyDescent="0.25">
      <c r="A57" s="8">
        <v>54</v>
      </c>
      <c r="B57" s="8">
        <v>20.029900000000001</v>
      </c>
      <c r="C57" s="8">
        <v>85.001999999999995</v>
      </c>
      <c r="D57" s="8" t="s">
        <v>7</v>
      </c>
      <c r="E57" s="8" t="s">
        <v>93</v>
      </c>
      <c r="F57" s="8">
        <v>4</v>
      </c>
      <c r="G57" s="8">
        <v>801.58</v>
      </c>
      <c r="H57" s="8" t="s">
        <v>57</v>
      </c>
      <c r="I57" s="3">
        <f t="shared" si="0"/>
        <v>3.75</v>
      </c>
      <c r="J57" s="11">
        <f t="shared" si="1"/>
        <v>2710.1419800000003</v>
      </c>
      <c r="K57" s="11">
        <f t="shared" si="2"/>
        <v>2573.5527480000001</v>
      </c>
      <c r="L57" s="11">
        <f t="shared" si="3"/>
        <v>2414.8399079999999</v>
      </c>
      <c r="M57" s="11">
        <f t="shared" si="4"/>
        <v>2250.5961660000003</v>
      </c>
      <c r="N57" s="11">
        <f t="shared" si="5"/>
        <v>2058.6979139999999</v>
      </c>
      <c r="O57" s="11">
        <f t="shared" si="6"/>
        <v>2058.6979139999999</v>
      </c>
      <c r="P57" s="11">
        <f t="shared" si="7"/>
        <v>3005.9250000000002</v>
      </c>
      <c r="Q57" s="11">
        <f t="shared" si="8"/>
        <v>3005.9250000000002</v>
      </c>
      <c r="R57" s="11">
        <f t="shared" si="9"/>
        <v>3005.9250000000002</v>
      </c>
      <c r="S57" s="11">
        <f t="shared" si="10"/>
        <v>3005.9250000000002</v>
      </c>
      <c r="T57" s="11">
        <f t="shared" si="11"/>
        <v>2903.2426020000003</v>
      </c>
      <c r="U57" s="11">
        <f t="shared" si="12"/>
        <v>2812.1029560000002</v>
      </c>
      <c r="V57" s="13">
        <f t="shared" si="13"/>
        <v>3005.9250000000002</v>
      </c>
      <c r="X57" s="30"/>
    </row>
    <row r="58" spans="1:24" x14ac:dyDescent="0.25">
      <c r="A58" s="8">
        <v>55</v>
      </c>
      <c r="B58" s="8">
        <v>20.003699999999998</v>
      </c>
      <c r="C58" s="8">
        <v>85.000600000000006</v>
      </c>
      <c r="D58" s="8" t="s">
        <v>7</v>
      </c>
      <c r="E58" s="8" t="s">
        <v>93</v>
      </c>
      <c r="F58" s="8">
        <v>4</v>
      </c>
      <c r="G58" s="8">
        <v>7941.09</v>
      </c>
      <c r="H58" s="8" t="s">
        <v>60</v>
      </c>
      <c r="I58" s="3">
        <f t="shared" si="0"/>
        <v>3.75</v>
      </c>
      <c r="J58" s="11">
        <f t="shared" si="1"/>
        <v>26848.825290000001</v>
      </c>
      <c r="K58" s="11">
        <f t="shared" si="2"/>
        <v>25495.663553999999</v>
      </c>
      <c r="L58" s="11">
        <f t="shared" si="3"/>
        <v>23923.327733999999</v>
      </c>
      <c r="M58" s="11">
        <f t="shared" si="4"/>
        <v>22296.198393000002</v>
      </c>
      <c r="N58" s="11">
        <f t="shared" si="5"/>
        <v>20395.101446999997</v>
      </c>
      <c r="O58" s="11">
        <f t="shared" si="6"/>
        <v>20395.101446999997</v>
      </c>
      <c r="P58" s="11">
        <f t="shared" si="7"/>
        <v>29779.087500000001</v>
      </c>
      <c r="Q58" s="11">
        <f t="shared" si="8"/>
        <v>29779.087500000001</v>
      </c>
      <c r="R58" s="11">
        <f t="shared" si="9"/>
        <v>29779.087500000001</v>
      </c>
      <c r="S58" s="11">
        <f t="shared" si="10"/>
        <v>29779.087500000001</v>
      </c>
      <c r="T58" s="11">
        <f t="shared" si="11"/>
        <v>28761.833871000003</v>
      </c>
      <c r="U58" s="11">
        <f t="shared" si="12"/>
        <v>27858.931938000002</v>
      </c>
      <c r="V58" s="13">
        <f t="shared" si="13"/>
        <v>29779.087500000001</v>
      </c>
      <c r="X58" s="30"/>
    </row>
    <row r="59" spans="1:24" x14ac:dyDescent="0.25">
      <c r="A59" s="8">
        <v>56</v>
      </c>
      <c r="B59" s="8">
        <v>20.006399999999999</v>
      </c>
      <c r="C59" s="8">
        <v>84.999300000000005</v>
      </c>
      <c r="D59" s="8" t="s">
        <v>7</v>
      </c>
      <c r="E59" s="8" t="s">
        <v>93</v>
      </c>
      <c r="F59" s="8">
        <v>4</v>
      </c>
      <c r="G59" s="8">
        <v>22864.37</v>
      </c>
      <c r="H59" s="8" t="s">
        <v>60</v>
      </c>
      <c r="I59" s="3">
        <f t="shared" si="0"/>
        <v>3.75</v>
      </c>
      <c r="J59" s="11">
        <f t="shared" si="1"/>
        <v>77304.434970000002</v>
      </c>
      <c r="K59" s="11">
        <f t="shared" si="2"/>
        <v>73408.346321999998</v>
      </c>
      <c r="L59" s="11">
        <f t="shared" si="3"/>
        <v>68881.201061999993</v>
      </c>
      <c r="M59" s="11">
        <f t="shared" si="4"/>
        <v>64196.291648999999</v>
      </c>
      <c r="N59" s="11">
        <f t="shared" si="5"/>
        <v>58722.561470999994</v>
      </c>
      <c r="O59" s="11">
        <f t="shared" si="6"/>
        <v>58722.561470999994</v>
      </c>
      <c r="P59" s="11">
        <f t="shared" si="7"/>
        <v>85741.387499999997</v>
      </c>
      <c r="Q59" s="11">
        <f t="shared" si="8"/>
        <v>85741.387499999997</v>
      </c>
      <c r="R59" s="11">
        <f t="shared" si="9"/>
        <v>85741.387499999997</v>
      </c>
      <c r="S59" s="11">
        <f t="shared" si="10"/>
        <v>85741.387499999997</v>
      </c>
      <c r="T59" s="11">
        <f t="shared" si="11"/>
        <v>82812.461702999994</v>
      </c>
      <c r="U59" s="11">
        <f t="shared" si="12"/>
        <v>80212.782833999998</v>
      </c>
      <c r="V59" s="13">
        <f t="shared" si="13"/>
        <v>85741.387499999997</v>
      </c>
      <c r="X59" s="30"/>
    </row>
    <row r="60" spans="1:24" x14ac:dyDescent="0.25">
      <c r="A60" s="8">
        <v>57</v>
      </c>
      <c r="B60" s="8">
        <v>20.0092</v>
      </c>
      <c r="C60" s="8">
        <v>84.997799999999998</v>
      </c>
      <c r="D60" s="8" t="s">
        <v>7</v>
      </c>
      <c r="E60" s="8" t="s">
        <v>93</v>
      </c>
      <c r="F60" s="8">
        <v>4</v>
      </c>
      <c r="G60" s="8">
        <v>5550.42</v>
      </c>
      <c r="H60" s="8" t="s">
        <v>60</v>
      </c>
      <c r="I60" s="3">
        <f t="shared" si="0"/>
        <v>3.75</v>
      </c>
      <c r="J60" s="11">
        <f t="shared" si="1"/>
        <v>18765.970020000001</v>
      </c>
      <c r="K60" s="11">
        <f t="shared" si="2"/>
        <v>17820.178452</v>
      </c>
      <c r="L60" s="11">
        <f t="shared" si="3"/>
        <v>16721.195292</v>
      </c>
      <c r="M60" s="11">
        <f t="shared" si="4"/>
        <v>15583.914234</v>
      </c>
      <c r="N60" s="11">
        <f t="shared" si="5"/>
        <v>14255.143685999999</v>
      </c>
      <c r="O60" s="11">
        <f t="shared" si="6"/>
        <v>14255.143685999999</v>
      </c>
      <c r="P60" s="11">
        <f t="shared" si="7"/>
        <v>20814.075000000001</v>
      </c>
      <c r="Q60" s="11">
        <f t="shared" si="8"/>
        <v>20814.075000000001</v>
      </c>
      <c r="R60" s="11">
        <f t="shared" si="9"/>
        <v>20814.075000000001</v>
      </c>
      <c r="S60" s="11">
        <f t="shared" si="10"/>
        <v>20814.075000000001</v>
      </c>
      <c r="T60" s="11">
        <f t="shared" si="11"/>
        <v>20103.066198</v>
      </c>
      <c r="U60" s="11">
        <f t="shared" si="12"/>
        <v>19471.983444000001</v>
      </c>
      <c r="V60" s="13">
        <f t="shared" si="13"/>
        <v>20814.075000000001</v>
      </c>
      <c r="X60" s="30"/>
    </row>
    <row r="61" spans="1:24" x14ac:dyDescent="0.25">
      <c r="A61" s="8">
        <v>58</v>
      </c>
      <c r="B61" s="8">
        <v>20.0108</v>
      </c>
      <c r="C61" s="8">
        <v>84.998199999999997</v>
      </c>
      <c r="D61" s="8" t="s">
        <v>7</v>
      </c>
      <c r="E61" s="8" t="s">
        <v>93</v>
      </c>
      <c r="F61" s="8">
        <v>4</v>
      </c>
      <c r="G61" s="8">
        <v>3104.21</v>
      </c>
      <c r="H61" s="8" t="s">
        <v>60</v>
      </c>
      <c r="I61" s="3">
        <f t="shared" si="0"/>
        <v>3.75</v>
      </c>
      <c r="J61" s="11">
        <f t="shared" si="1"/>
        <v>10495.33401</v>
      </c>
      <c r="K61" s="11">
        <f t="shared" si="2"/>
        <v>9966.3766259999993</v>
      </c>
      <c r="L61" s="11">
        <f t="shared" si="3"/>
        <v>9351.7430459999996</v>
      </c>
      <c r="M61" s="11">
        <f t="shared" si="4"/>
        <v>8715.6904169999998</v>
      </c>
      <c r="N61" s="11">
        <f t="shared" si="5"/>
        <v>7972.5425429999996</v>
      </c>
      <c r="O61" s="11">
        <f t="shared" si="6"/>
        <v>7972.5425429999996</v>
      </c>
      <c r="P61" s="11">
        <f t="shared" si="7"/>
        <v>11640.7875</v>
      </c>
      <c r="Q61" s="11">
        <f t="shared" si="8"/>
        <v>11640.7875</v>
      </c>
      <c r="R61" s="11">
        <f t="shared" si="9"/>
        <v>11640.7875</v>
      </c>
      <c r="S61" s="11">
        <f t="shared" si="10"/>
        <v>11640.7875</v>
      </c>
      <c r="T61" s="11">
        <f t="shared" si="11"/>
        <v>11243.138199000001</v>
      </c>
      <c r="U61" s="11">
        <f t="shared" si="12"/>
        <v>10890.189522000001</v>
      </c>
      <c r="V61" s="13">
        <f t="shared" si="13"/>
        <v>11640.7875</v>
      </c>
      <c r="X61" s="30"/>
    </row>
    <row r="62" spans="1:24" x14ac:dyDescent="0.25">
      <c r="A62" s="8">
        <v>59</v>
      </c>
      <c r="B62" s="8">
        <v>20.009599999999999</v>
      </c>
      <c r="C62" s="8">
        <v>85.003</v>
      </c>
      <c r="D62" s="8" t="s">
        <v>7</v>
      </c>
      <c r="E62" s="8" t="s">
        <v>93</v>
      </c>
      <c r="F62" s="8">
        <v>4</v>
      </c>
      <c r="G62" s="8">
        <v>14252.06</v>
      </c>
      <c r="H62" s="8" t="s">
        <v>60</v>
      </c>
      <c r="I62" s="3">
        <f t="shared" si="0"/>
        <v>3.75</v>
      </c>
      <c r="J62" s="11">
        <f t="shared" si="1"/>
        <v>48186.21486</v>
      </c>
      <c r="K62" s="11">
        <f t="shared" si="2"/>
        <v>45757.663836</v>
      </c>
      <c r="L62" s="11">
        <f t="shared" si="3"/>
        <v>42935.755956000001</v>
      </c>
      <c r="M62" s="11">
        <f t="shared" si="4"/>
        <v>40015.508862000002</v>
      </c>
      <c r="N62" s="11">
        <f t="shared" si="5"/>
        <v>36603.565697999999</v>
      </c>
      <c r="O62" s="11">
        <f t="shared" si="6"/>
        <v>36603.565697999999</v>
      </c>
      <c r="P62" s="11">
        <f t="shared" si="7"/>
        <v>53445.224999999999</v>
      </c>
      <c r="Q62" s="11">
        <f t="shared" si="8"/>
        <v>53445.224999999999</v>
      </c>
      <c r="R62" s="11">
        <f t="shared" si="9"/>
        <v>53445.224999999999</v>
      </c>
      <c r="S62" s="11">
        <f t="shared" si="10"/>
        <v>53445.224999999999</v>
      </c>
      <c r="T62" s="11">
        <f t="shared" si="11"/>
        <v>51619.536114000002</v>
      </c>
      <c r="U62" s="11">
        <f t="shared" si="12"/>
        <v>49999.076891999997</v>
      </c>
      <c r="V62" s="13">
        <f t="shared" si="13"/>
        <v>53445.224999999999</v>
      </c>
      <c r="X62" s="30"/>
    </row>
    <row r="63" spans="1:24" x14ac:dyDescent="0.25">
      <c r="A63" s="8">
        <v>60</v>
      </c>
      <c r="B63" s="8">
        <v>20.007400000000001</v>
      </c>
      <c r="C63" s="8">
        <v>85.006600000000006</v>
      </c>
      <c r="D63" s="8" t="s">
        <v>7</v>
      </c>
      <c r="E63" s="8" t="s">
        <v>93</v>
      </c>
      <c r="F63" s="8">
        <v>4</v>
      </c>
      <c r="G63" s="8">
        <v>3260.88</v>
      </c>
      <c r="H63" s="8" t="s">
        <v>60</v>
      </c>
      <c r="I63" s="3">
        <f t="shared" si="0"/>
        <v>3.75</v>
      </c>
      <c r="J63" s="11">
        <f t="shared" si="1"/>
        <v>11025.035280000002</v>
      </c>
      <c r="K63" s="11">
        <f t="shared" si="2"/>
        <v>10469.381327999999</v>
      </c>
      <c r="L63" s="11">
        <f t="shared" si="3"/>
        <v>9823.7270879999996</v>
      </c>
      <c r="M63" s="11">
        <f t="shared" si="4"/>
        <v>9155.5727760000009</v>
      </c>
      <c r="N63" s="11">
        <f t="shared" si="5"/>
        <v>8374.9181040000003</v>
      </c>
      <c r="O63" s="11">
        <f t="shared" si="6"/>
        <v>8374.9181040000003</v>
      </c>
      <c r="P63" s="11">
        <f t="shared" si="7"/>
        <v>12228.300000000001</v>
      </c>
      <c r="Q63" s="11">
        <f t="shared" si="8"/>
        <v>12228.300000000001</v>
      </c>
      <c r="R63" s="11">
        <f t="shared" si="9"/>
        <v>12228.300000000001</v>
      </c>
      <c r="S63" s="11">
        <f t="shared" si="10"/>
        <v>12228.300000000001</v>
      </c>
      <c r="T63" s="11">
        <f t="shared" si="11"/>
        <v>11810.581272000001</v>
      </c>
      <c r="U63" s="11">
        <f t="shared" si="12"/>
        <v>11439.819216</v>
      </c>
      <c r="V63" s="13">
        <f t="shared" si="13"/>
        <v>12228.300000000001</v>
      </c>
      <c r="X63" s="30"/>
    </row>
    <row r="64" spans="1:24" x14ac:dyDescent="0.25">
      <c r="A64" s="8">
        <v>61</v>
      </c>
      <c r="B64" s="8">
        <v>20.006399999999999</v>
      </c>
      <c r="C64" s="8">
        <v>85.007800000000003</v>
      </c>
      <c r="D64" s="8" t="s">
        <v>7</v>
      </c>
      <c r="E64" s="8" t="s">
        <v>93</v>
      </c>
      <c r="F64" s="8">
        <v>2</v>
      </c>
      <c r="G64" s="8">
        <v>461.57</v>
      </c>
      <c r="H64" s="8" t="s">
        <v>60</v>
      </c>
      <c r="I64" s="3">
        <f t="shared" si="0"/>
        <v>1.75</v>
      </c>
      <c r="J64" s="11">
        <f t="shared" si="1"/>
        <v>637.42817000000002</v>
      </c>
      <c r="K64" s="11">
        <f t="shared" si="2"/>
        <v>558.77664199999992</v>
      </c>
      <c r="L64" s="11">
        <f t="shared" si="3"/>
        <v>467.38578199999995</v>
      </c>
      <c r="M64" s="11">
        <f t="shared" si="4"/>
        <v>372.810089</v>
      </c>
      <c r="N64" s="11">
        <f t="shared" si="5"/>
        <v>262.31023099999999</v>
      </c>
      <c r="O64" s="11">
        <f t="shared" si="6"/>
        <v>262.31023099999999</v>
      </c>
      <c r="P64" s="11">
        <f t="shared" si="7"/>
        <v>807.74749999999995</v>
      </c>
      <c r="Q64" s="11">
        <f t="shared" si="8"/>
        <v>807.74749999999995</v>
      </c>
      <c r="R64" s="11">
        <f t="shared" si="9"/>
        <v>807.74749999999995</v>
      </c>
      <c r="S64" s="11">
        <f t="shared" si="10"/>
        <v>807.74749999999995</v>
      </c>
      <c r="T64" s="11">
        <f t="shared" si="11"/>
        <v>748.62038300000006</v>
      </c>
      <c r="U64" s="11">
        <f t="shared" si="12"/>
        <v>696.13987399999996</v>
      </c>
      <c r="V64" s="13">
        <f t="shared" si="13"/>
        <v>807.74749999999995</v>
      </c>
      <c r="X64" s="30"/>
    </row>
    <row r="65" spans="1:24" x14ac:dyDescent="0.25">
      <c r="A65" s="8">
        <v>62</v>
      </c>
      <c r="B65" s="8">
        <v>20.0093</v>
      </c>
      <c r="C65" s="8">
        <v>85.004999999999995</v>
      </c>
      <c r="D65" s="8" t="s">
        <v>7</v>
      </c>
      <c r="E65" s="8" t="s">
        <v>93</v>
      </c>
      <c r="F65" s="8">
        <v>3</v>
      </c>
      <c r="G65" s="8">
        <v>1879.15</v>
      </c>
      <c r="H65" s="8" t="s">
        <v>60</v>
      </c>
      <c r="I65" s="3">
        <f t="shared" si="0"/>
        <v>2.75</v>
      </c>
      <c r="J65" s="11">
        <f t="shared" si="1"/>
        <v>4474.2561500000011</v>
      </c>
      <c r="K65" s="11">
        <f t="shared" si="2"/>
        <v>4154.0489900000002</v>
      </c>
      <c r="L65" s="11">
        <f t="shared" si="3"/>
        <v>3781.9772900000003</v>
      </c>
      <c r="M65" s="11">
        <f t="shared" si="4"/>
        <v>3396.9394550000002</v>
      </c>
      <c r="N65" s="11">
        <f t="shared" si="5"/>
        <v>2947.0709450000004</v>
      </c>
      <c r="O65" s="11">
        <f t="shared" si="6"/>
        <v>2947.0709450000004</v>
      </c>
      <c r="P65" s="11">
        <f t="shared" si="7"/>
        <v>5167.6625000000004</v>
      </c>
      <c r="Q65" s="11">
        <f t="shared" si="8"/>
        <v>5167.6625000000004</v>
      </c>
      <c r="R65" s="11">
        <f t="shared" si="9"/>
        <v>5167.6625000000004</v>
      </c>
      <c r="S65" s="11">
        <f t="shared" si="10"/>
        <v>5167.6625000000004</v>
      </c>
      <c r="T65" s="11">
        <f t="shared" si="11"/>
        <v>4926.9433850000005</v>
      </c>
      <c r="U65" s="11">
        <f t="shared" si="12"/>
        <v>4713.2840299999998</v>
      </c>
      <c r="V65" s="13">
        <f t="shared" si="13"/>
        <v>5167.6625000000004</v>
      </c>
      <c r="X65" s="30"/>
    </row>
    <row r="66" spans="1:24" x14ac:dyDescent="0.25">
      <c r="A66" s="8">
        <v>63</v>
      </c>
      <c r="B66" s="8">
        <v>20.011700000000001</v>
      </c>
      <c r="C66" s="8">
        <v>85.005799999999994</v>
      </c>
      <c r="D66" s="8" t="s">
        <v>7</v>
      </c>
      <c r="E66" s="8" t="s">
        <v>93</v>
      </c>
      <c r="F66" s="8">
        <v>2</v>
      </c>
      <c r="G66" s="8">
        <v>1253.43</v>
      </c>
      <c r="H66" s="8" t="s">
        <v>60</v>
      </c>
      <c r="I66" s="3">
        <f t="shared" si="0"/>
        <v>1.75</v>
      </c>
      <c r="J66" s="11">
        <f t="shared" si="1"/>
        <v>1730.9868300000001</v>
      </c>
      <c r="K66" s="11">
        <f t="shared" si="2"/>
        <v>1517.402358</v>
      </c>
      <c r="L66" s="11">
        <f t="shared" si="3"/>
        <v>1269.2232180000001</v>
      </c>
      <c r="M66" s="11">
        <f t="shared" si="4"/>
        <v>1012.395411</v>
      </c>
      <c r="N66" s="11">
        <f t="shared" si="5"/>
        <v>712.32426900000007</v>
      </c>
      <c r="O66" s="11">
        <f t="shared" si="6"/>
        <v>712.32426900000007</v>
      </c>
      <c r="P66" s="11">
        <f t="shared" si="7"/>
        <v>2193.5025000000001</v>
      </c>
      <c r="Q66" s="11">
        <f t="shared" si="8"/>
        <v>2193.5025000000001</v>
      </c>
      <c r="R66" s="11">
        <f t="shared" si="9"/>
        <v>2193.5025000000001</v>
      </c>
      <c r="S66" s="11">
        <f t="shared" si="10"/>
        <v>2193.5025000000001</v>
      </c>
      <c r="T66" s="11">
        <f t="shared" si="11"/>
        <v>2032.9381170000001</v>
      </c>
      <c r="U66" s="11">
        <f t="shared" si="12"/>
        <v>1890.4231260000001</v>
      </c>
      <c r="V66" s="13">
        <f t="shared" si="13"/>
        <v>2193.5025000000001</v>
      </c>
      <c r="X66" s="30"/>
    </row>
    <row r="67" spans="1:24" x14ac:dyDescent="0.25">
      <c r="A67" s="8">
        <v>64</v>
      </c>
      <c r="B67" s="8">
        <v>20.013500000000001</v>
      </c>
      <c r="C67" s="8">
        <v>85.006799999999998</v>
      </c>
      <c r="D67" s="8" t="s">
        <v>7</v>
      </c>
      <c r="E67" s="8" t="s">
        <v>93</v>
      </c>
      <c r="F67" s="8">
        <v>4</v>
      </c>
      <c r="G67" s="8">
        <v>1850.03</v>
      </c>
      <c r="H67" s="8" t="s">
        <v>60</v>
      </c>
      <c r="I67" s="3">
        <f t="shared" ref="I67:I130" si="18">F67-$AC$20</f>
        <v>3.75</v>
      </c>
      <c r="J67" s="11">
        <f t="shared" ref="J67:J130" si="19">IF($I67-Z$24&lt;0, 0, ($I67-Z$24)*$G67)</f>
        <v>6254.9514300000001</v>
      </c>
      <c r="K67" s="11">
        <f t="shared" ref="K67:K130" si="20">IF($I67-AA$24&lt;0, 0, ($I67-AA$24)*$G67)</f>
        <v>5939.7063179999996</v>
      </c>
      <c r="L67" s="11">
        <f t="shared" ref="L67:L130" si="21">IF($I67-AB$24&lt;0, 0, ($I67-AB$24)*$G67)</f>
        <v>5573.4003779999994</v>
      </c>
      <c r="M67" s="11">
        <f t="shared" ref="M67:M130" si="22">IF($I67-AC$24&lt;0, 0, ($I67-AC$24)*$G67)</f>
        <v>5194.3292309999997</v>
      </c>
      <c r="N67" s="11">
        <f t="shared" ref="N67:N130" si="23">IF($I67-AD$24&lt;0, 0, ($I67-AD$24)*$G67)</f>
        <v>4751.432049</v>
      </c>
      <c r="O67" s="11">
        <f t="shared" ref="O67:O130" si="24">IF($I67-AE$24&lt;0, 0, ($I67-AE$24)*$G67)</f>
        <v>4751.432049</v>
      </c>
      <c r="P67" s="11">
        <f t="shared" ref="P67:P130" si="25">IF($I67-AF$24&lt;0, 0, ($I67-AF$24)*$G67)</f>
        <v>6937.6125000000002</v>
      </c>
      <c r="Q67" s="11">
        <f t="shared" ref="Q67:Q130" si="26">IF($I67-AG$24&lt;0, 0, ($I67-AG$24)*$G67)</f>
        <v>6937.6125000000002</v>
      </c>
      <c r="R67" s="11">
        <f t="shared" ref="R67:R130" si="27">IF($I67-AH$24&lt;0, 0, ($I67-AH$24)*$G67)</f>
        <v>6937.6125000000002</v>
      </c>
      <c r="S67" s="11">
        <f t="shared" ref="S67:S130" si="28">IF($I67-AI$24&lt;0, 0, ($I67-AI$24)*$G67)</f>
        <v>6937.6125000000002</v>
      </c>
      <c r="T67" s="11">
        <f t="shared" ref="T67:T130" si="29">IF($I67-AJ$24&lt;0, 0, ($I67-AJ$24)*$G67)</f>
        <v>6700.6236570000001</v>
      </c>
      <c r="U67" s="11">
        <f t="shared" ref="U67:U130" si="30">IF($I67-AK$24&lt;0, 0, ($I67-AK$24)*$G67)</f>
        <v>6490.2752460000002</v>
      </c>
      <c r="V67" s="13">
        <f t="shared" si="13"/>
        <v>6937.6125000000002</v>
      </c>
      <c r="X67" s="30"/>
    </row>
    <row r="68" spans="1:24" x14ac:dyDescent="0.25">
      <c r="A68" s="8">
        <v>65</v>
      </c>
      <c r="B68" s="8">
        <v>20.014099999999999</v>
      </c>
      <c r="C68" s="8">
        <v>85.007900000000006</v>
      </c>
      <c r="D68" s="8" t="s">
        <v>7</v>
      </c>
      <c r="E68" s="8" t="s">
        <v>93</v>
      </c>
      <c r="F68" s="8">
        <v>4</v>
      </c>
      <c r="G68" s="8">
        <v>3917.2</v>
      </c>
      <c r="H68" s="8" t="s">
        <v>60</v>
      </c>
      <c r="I68" s="3">
        <f t="shared" si="18"/>
        <v>3.75</v>
      </c>
      <c r="J68" s="11">
        <f t="shared" si="19"/>
        <v>13244.0532</v>
      </c>
      <c r="K68" s="11">
        <f t="shared" si="20"/>
        <v>12576.562319999999</v>
      </c>
      <c r="L68" s="11">
        <f t="shared" si="21"/>
        <v>11800.95672</v>
      </c>
      <c r="M68" s="11">
        <f t="shared" si="22"/>
        <v>10998.32244</v>
      </c>
      <c r="N68" s="11">
        <f t="shared" si="23"/>
        <v>10060.544759999999</v>
      </c>
      <c r="O68" s="11">
        <f t="shared" si="24"/>
        <v>10060.544759999999</v>
      </c>
      <c r="P68" s="11">
        <f t="shared" si="25"/>
        <v>14689.5</v>
      </c>
      <c r="Q68" s="11">
        <f t="shared" si="26"/>
        <v>14689.5</v>
      </c>
      <c r="R68" s="11">
        <f t="shared" si="27"/>
        <v>14689.5</v>
      </c>
      <c r="S68" s="11">
        <f t="shared" si="28"/>
        <v>14689.5</v>
      </c>
      <c r="T68" s="11">
        <f t="shared" si="29"/>
        <v>14187.706679999999</v>
      </c>
      <c r="U68" s="11">
        <f t="shared" si="30"/>
        <v>13742.321039999999</v>
      </c>
      <c r="V68" s="13">
        <f t="shared" ref="V68:V131" si="31">MAX(J68:U68)</f>
        <v>14689.5</v>
      </c>
      <c r="X68" s="30"/>
    </row>
    <row r="69" spans="1:24" x14ac:dyDescent="0.25">
      <c r="A69" s="8">
        <v>66</v>
      </c>
      <c r="B69" s="8">
        <v>20.0153</v>
      </c>
      <c r="C69" s="8">
        <v>85.007800000000003</v>
      </c>
      <c r="D69" s="8" t="s">
        <v>7</v>
      </c>
      <c r="E69" s="8" t="s">
        <v>93</v>
      </c>
      <c r="F69" s="8">
        <v>3</v>
      </c>
      <c r="G69" s="8">
        <v>631.09</v>
      </c>
      <c r="H69" s="8" t="s">
        <v>60</v>
      </c>
      <c r="I69" s="3">
        <f t="shared" si="18"/>
        <v>2.75</v>
      </c>
      <c r="J69" s="11">
        <f t="shared" si="19"/>
        <v>1502.6252900000002</v>
      </c>
      <c r="K69" s="11">
        <f t="shared" si="20"/>
        <v>1395.087554</v>
      </c>
      <c r="L69" s="11">
        <f t="shared" si="21"/>
        <v>1270.1317340000001</v>
      </c>
      <c r="M69" s="11">
        <f t="shared" si="22"/>
        <v>1140.8213930000002</v>
      </c>
      <c r="N69" s="11">
        <f t="shared" si="23"/>
        <v>989.73844700000006</v>
      </c>
      <c r="O69" s="11">
        <f t="shared" si="24"/>
        <v>989.73844700000006</v>
      </c>
      <c r="P69" s="11">
        <f t="shared" si="25"/>
        <v>1735.4975000000002</v>
      </c>
      <c r="Q69" s="11">
        <f t="shared" si="26"/>
        <v>1735.4975000000002</v>
      </c>
      <c r="R69" s="11">
        <f t="shared" si="27"/>
        <v>1735.4975000000002</v>
      </c>
      <c r="S69" s="11">
        <f t="shared" si="28"/>
        <v>1735.4975000000002</v>
      </c>
      <c r="T69" s="11">
        <f t="shared" si="29"/>
        <v>1654.6548710000002</v>
      </c>
      <c r="U69" s="11">
        <f t="shared" si="30"/>
        <v>1582.899938</v>
      </c>
      <c r="V69" s="13">
        <f t="shared" si="31"/>
        <v>1735.4975000000002</v>
      </c>
      <c r="X69" s="30"/>
    </row>
    <row r="70" spans="1:24" x14ac:dyDescent="0.25">
      <c r="A70" s="8">
        <v>67</v>
      </c>
      <c r="B70" s="8">
        <v>20.013999999999999</v>
      </c>
      <c r="C70" s="8">
        <v>84.998500000000007</v>
      </c>
      <c r="D70" s="8" t="s">
        <v>7</v>
      </c>
      <c r="E70" s="8" t="s">
        <v>93</v>
      </c>
      <c r="F70" s="8">
        <v>4</v>
      </c>
      <c r="G70" s="8">
        <v>3240.89</v>
      </c>
      <c r="H70" s="8" t="s">
        <v>60</v>
      </c>
      <c r="I70" s="3">
        <f t="shared" si="18"/>
        <v>3.75</v>
      </c>
      <c r="J70" s="11">
        <f t="shared" si="19"/>
        <v>10957.44909</v>
      </c>
      <c r="K70" s="11">
        <f t="shared" si="20"/>
        <v>10405.201433999999</v>
      </c>
      <c r="L70" s="11">
        <f t="shared" si="21"/>
        <v>9763.5052139999989</v>
      </c>
      <c r="M70" s="11">
        <f t="shared" si="22"/>
        <v>9099.4468529999995</v>
      </c>
      <c r="N70" s="11">
        <f t="shared" si="23"/>
        <v>8323.5777869999984</v>
      </c>
      <c r="O70" s="11">
        <f t="shared" si="24"/>
        <v>8323.5777869999984</v>
      </c>
      <c r="P70" s="11">
        <f t="shared" si="25"/>
        <v>12153.3375</v>
      </c>
      <c r="Q70" s="11">
        <f t="shared" si="26"/>
        <v>12153.3375</v>
      </c>
      <c r="R70" s="11">
        <f t="shared" si="27"/>
        <v>12153.3375</v>
      </c>
      <c r="S70" s="11">
        <f t="shared" si="28"/>
        <v>12153.3375</v>
      </c>
      <c r="T70" s="11">
        <f t="shared" si="29"/>
        <v>11738.179491000001</v>
      </c>
      <c r="U70" s="11">
        <f t="shared" si="30"/>
        <v>11369.690298</v>
      </c>
      <c r="V70" s="13">
        <f t="shared" si="31"/>
        <v>12153.3375</v>
      </c>
      <c r="X70" s="30"/>
    </row>
    <row r="71" spans="1:24" x14ac:dyDescent="0.25">
      <c r="A71" s="8">
        <v>68</v>
      </c>
      <c r="B71" s="8">
        <v>20.015899999999998</v>
      </c>
      <c r="C71" s="8">
        <v>84.992699999999999</v>
      </c>
      <c r="D71" s="8" t="s">
        <v>7</v>
      </c>
      <c r="E71" s="8" t="s">
        <v>93</v>
      </c>
      <c r="F71" s="8">
        <v>4</v>
      </c>
      <c r="G71" s="8">
        <v>5788.72</v>
      </c>
      <c r="H71" s="8" t="s">
        <v>60</v>
      </c>
      <c r="I71" s="3">
        <f t="shared" si="18"/>
        <v>3.75</v>
      </c>
      <c r="J71" s="11">
        <f t="shared" si="19"/>
        <v>19571.662320000003</v>
      </c>
      <c r="K71" s="11">
        <f t="shared" si="20"/>
        <v>18585.264432</v>
      </c>
      <c r="L71" s="11">
        <f t="shared" si="21"/>
        <v>17439.097872000002</v>
      </c>
      <c r="M71" s="11">
        <f t="shared" si="22"/>
        <v>16252.989144000001</v>
      </c>
      <c r="N71" s="11">
        <f t="shared" si="23"/>
        <v>14867.169576</v>
      </c>
      <c r="O71" s="11">
        <f t="shared" si="24"/>
        <v>14867.169576</v>
      </c>
      <c r="P71" s="11">
        <f t="shared" si="25"/>
        <v>21707.7</v>
      </c>
      <c r="Q71" s="11">
        <f t="shared" si="26"/>
        <v>21707.7</v>
      </c>
      <c r="R71" s="11">
        <f t="shared" si="27"/>
        <v>21707.7</v>
      </c>
      <c r="S71" s="11">
        <f t="shared" si="28"/>
        <v>21707.7</v>
      </c>
      <c r="T71" s="11">
        <f t="shared" si="29"/>
        <v>20966.164968000001</v>
      </c>
      <c r="U71" s="11">
        <f t="shared" si="30"/>
        <v>20307.987504000001</v>
      </c>
      <c r="V71" s="13">
        <f t="shared" si="31"/>
        <v>21707.7</v>
      </c>
      <c r="X71" s="30"/>
    </row>
    <row r="72" spans="1:24" x14ac:dyDescent="0.25">
      <c r="A72" s="8">
        <v>69</v>
      </c>
      <c r="B72" s="8">
        <v>20.0167</v>
      </c>
      <c r="C72" s="8">
        <v>84.997600000000006</v>
      </c>
      <c r="D72" s="8" t="s">
        <v>7</v>
      </c>
      <c r="E72" s="8" t="s">
        <v>93</v>
      </c>
      <c r="F72" s="8">
        <v>3</v>
      </c>
      <c r="G72" s="8">
        <v>1915.78</v>
      </c>
      <c r="H72" s="8" t="s">
        <v>60</v>
      </c>
      <c r="I72" s="3">
        <f t="shared" si="18"/>
        <v>2.75</v>
      </c>
      <c r="J72" s="11">
        <f t="shared" si="19"/>
        <v>4561.4721800000007</v>
      </c>
      <c r="K72" s="11">
        <f t="shared" si="20"/>
        <v>4235.0232679999999</v>
      </c>
      <c r="L72" s="11">
        <f t="shared" si="21"/>
        <v>3855.698828</v>
      </c>
      <c r="M72" s="11">
        <f t="shared" si="22"/>
        <v>3463.1555060000001</v>
      </c>
      <c r="N72" s="11">
        <f t="shared" si="23"/>
        <v>3004.5177739999999</v>
      </c>
      <c r="O72" s="11">
        <f t="shared" si="24"/>
        <v>3004.5177739999999</v>
      </c>
      <c r="P72" s="11">
        <f t="shared" si="25"/>
        <v>5268.3949999999995</v>
      </c>
      <c r="Q72" s="11">
        <f t="shared" si="26"/>
        <v>5268.3949999999995</v>
      </c>
      <c r="R72" s="11">
        <f t="shared" si="27"/>
        <v>5268.3949999999995</v>
      </c>
      <c r="S72" s="11">
        <f t="shared" si="28"/>
        <v>5268.3949999999995</v>
      </c>
      <c r="T72" s="11">
        <f t="shared" si="29"/>
        <v>5022.9835819999998</v>
      </c>
      <c r="U72" s="11">
        <f t="shared" si="30"/>
        <v>4805.159396</v>
      </c>
      <c r="V72" s="13">
        <f t="shared" si="31"/>
        <v>5268.3949999999995</v>
      </c>
      <c r="X72" s="30"/>
    </row>
    <row r="73" spans="1:24" x14ac:dyDescent="0.25">
      <c r="A73" s="8">
        <v>70</v>
      </c>
      <c r="B73" s="8">
        <v>20.020800000000001</v>
      </c>
      <c r="C73" s="8">
        <v>85.000100000000003</v>
      </c>
      <c r="D73" s="8" t="s">
        <v>7</v>
      </c>
      <c r="E73" s="8" t="s">
        <v>93</v>
      </c>
      <c r="F73" s="8">
        <v>3</v>
      </c>
      <c r="G73" s="8">
        <v>2913.8</v>
      </c>
      <c r="H73" s="8" t="s">
        <v>60</v>
      </c>
      <c r="I73" s="3">
        <f t="shared" si="18"/>
        <v>2.75</v>
      </c>
      <c r="J73" s="11">
        <f t="shared" si="19"/>
        <v>6937.7578000000012</v>
      </c>
      <c r="K73" s="11">
        <f t="shared" si="20"/>
        <v>6441.2462800000003</v>
      </c>
      <c r="L73" s="11">
        <f t="shared" si="21"/>
        <v>5864.3138800000006</v>
      </c>
      <c r="M73" s="11">
        <f t="shared" si="22"/>
        <v>5267.2762600000005</v>
      </c>
      <c r="N73" s="11">
        <f t="shared" si="23"/>
        <v>4569.7125400000004</v>
      </c>
      <c r="O73" s="11">
        <f t="shared" si="24"/>
        <v>4569.7125400000004</v>
      </c>
      <c r="P73" s="11">
        <f t="shared" si="25"/>
        <v>8012.9500000000007</v>
      </c>
      <c r="Q73" s="11">
        <f t="shared" si="26"/>
        <v>8012.9500000000007</v>
      </c>
      <c r="R73" s="11">
        <f t="shared" si="27"/>
        <v>8012.9500000000007</v>
      </c>
      <c r="S73" s="11">
        <f t="shared" si="28"/>
        <v>8012.9500000000007</v>
      </c>
      <c r="T73" s="11">
        <f t="shared" si="29"/>
        <v>7639.6922200000008</v>
      </c>
      <c r="U73" s="11">
        <f t="shared" si="30"/>
        <v>7308.3931600000005</v>
      </c>
      <c r="V73" s="13">
        <f t="shared" si="31"/>
        <v>8012.9500000000007</v>
      </c>
      <c r="X73" s="30"/>
    </row>
    <row r="74" spans="1:24" x14ac:dyDescent="0.25">
      <c r="A74" s="8">
        <v>71</v>
      </c>
      <c r="B74" s="8">
        <v>20.0242</v>
      </c>
      <c r="C74" s="8">
        <v>85.000200000000007</v>
      </c>
      <c r="D74" s="8" t="s">
        <v>7</v>
      </c>
      <c r="E74" s="8" t="s">
        <v>93</v>
      </c>
      <c r="F74" s="8">
        <v>2.5</v>
      </c>
      <c r="G74" s="8">
        <v>976.03</v>
      </c>
      <c r="H74" s="8" t="s">
        <v>60</v>
      </c>
      <c r="I74" s="3">
        <f t="shared" si="18"/>
        <v>2.25</v>
      </c>
      <c r="J74" s="11">
        <f t="shared" si="19"/>
        <v>1835.9124299999999</v>
      </c>
      <c r="K74" s="11">
        <f t="shared" si="20"/>
        <v>1669.596918</v>
      </c>
      <c r="L74" s="11">
        <f t="shared" si="21"/>
        <v>1476.3429779999999</v>
      </c>
      <c r="M74" s="11">
        <f t="shared" si="22"/>
        <v>1276.354431</v>
      </c>
      <c r="N74" s="11">
        <f t="shared" si="23"/>
        <v>1042.692849</v>
      </c>
      <c r="O74" s="11">
        <f t="shared" si="24"/>
        <v>1042.692849</v>
      </c>
      <c r="P74" s="11">
        <f t="shared" si="25"/>
        <v>2196.0675000000001</v>
      </c>
      <c r="Q74" s="11">
        <f t="shared" si="26"/>
        <v>2196.0675000000001</v>
      </c>
      <c r="R74" s="11">
        <f t="shared" si="27"/>
        <v>2196.0675000000001</v>
      </c>
      <c r="S74" s="11">
        <f t="shared" si="28"/>
        <v>2196.0675000000001</v>
      </c>
      <c r="T74" s="11">
        <f t="shared" si="29"/>
        <v>2071.0380570000002</v>
      </c>
      <c r="U74" s="11">
        <f t="shared" si="30"/>
        <v>1960.0634459999999</v>
      </c>
      <c r="V74" s="13">
        <f t="shared" si="31"/>
        <v>2196.0675000000001</v>
      </c>
      <c r="X74" s="30"/>
    </row>
    <row r="75" spans="1:24" x14ac:dyDescent="0.25">
      <c r="A75" s="8">
        <v>72</v>
      </c>
      <c r="B75" s="8">
        <v>20.024899999999999</v>
      </c>
      <c r="C75" s="8">
        <v>85.006200000000007</v>
      </c>
      <c r="D75" s="8" t="s">
        <v>7</v>
      </c>
      <c r="E75" s="8" t="s">
        <v>93</v>
      </c>
      <c r="F75" s="8">
        <v>3</v>
      </c>
      <c r="G75" s="8">
        <v>4326.5200000000004</v>
      </c>
      <c r="H75" s="8" t="s">
        <v>60</v>
      </c>
      <c r="I75" s="3">
        <f t="shared" si="18"/>
        <v>2.75</v>
      </c>
      <c r="J75" s="11">
        <f t="shared" si="19"/>
        <v>10301.444120000002</v>
      </c>
      <c r="K75" s="11">
        <f t="shared" si="20"/>
        <v>9564.2051119999996</v>
      </c>
      <c r="L75" s="11">
        <f t="shared" si="21"/>
        <v>8707.5541520000006</v>
      </c>
      <c r="M75" s="11">
        <f t="shared" si="22"/>
        <v>7821.050204000001</v>
      </c>
      <c r="N75" s="11">
        <f t="shared" si="23"/>
        <v>6785.2813160000005</v>
      </c>
      <c r="O75" s="11">
        <f t="shared" si="24"/>
        <v>6785.2813160000005</v>
      </c>
      <c r="P75" s="11">
        <f t="shared" si="25"/>
        <v>11897.93</v>
      </c>
      <c r="Q75" s="11">
        <f t="shared" si="26"/>
        <v>11897.93</v>
      </c>
      <c r="R75" s="11">
        <f t="shared" si="27"/>
        <v>11897.93</v>
      </c>
      <c r="S75" s="11">
        <f t="shared" si="28"/>
        <v>11897.93</v>
      </c>
      <c r="T75" s="11">
        <f t="shared" si="29"/>
        <v>11343.702788000002</v>
      </c>
      <c r="U75" s="11">
        <f t="shared" si="30"/>
        <v>10851.777464000001</v>
      </c>
      <c r="V75" s="13">
        <f t="shared" si="31"/>
        <v>11897.93</v>
      </c>
      <c r="X75" s="30"/>
    </row>
    <row r="76" spans="1:24" x14ac:dyDescent="0.25">
      <c r="A76" s="8">
        <v>73</v>
      </c>
      <c r="B76" s="8">
        <v>20.025099999999998</v>
      </c>
      <c r="C76" s="8">
        <v>85.006900000000002</v>
      </c>
      <c r="D76" s="8" t="s">
        <v>7</v>
      </c>
      <c r="E76" s="8" t="s">
        <v>93</v>
      </c>
      <c r="F76" s="8">
        <v>3</v>
      </c>
      <c r="G76" s="8">
        <v>3228.63</v>
      </c>
      <c r="H76" s="8" t="s">
        <v>60</v>
      </c>
      <c r="I76" s="3">
        <f t="shared" si="18"/>
        <v>2.75</v>
      </c>
      <c r="J76" s="11">
        <f t="shared" si="19"/>
        <v>7687.3680300000005</v>
      </c>
      <c r="K76" s="11">
        <f t="shared" si="20"/>
        <v>7137.2094779999998</v>
      </c>
      <c r="L76" s="11">
        <f t="shared" si="21"/>
        <v>6497.9407380000002</v>
      </c>
      <c r="M76" s="11">
        <f t="shared" si="22"/>
        <v>5836.3944510000001</v>
      </c>
      <c r="N76" s="11">
        <f t="shared" si="23"/>
        <v>5063.4604290000007</v>
      </c>
      <c r="O76" s="11">
        <f t="shared" si="24"/>
        <v>5063.4604290000007</v>
      </c>
      <c r="P76" s="11">
        <f t="shared" si="25"/>
        <v>8878.7325000000001</v>
      </c>
      <c r="Q76" s="11">
        <f t="shared" si="26"/>
        <v>8878.7325000000001</v>
      </c>
      <c r="R76" s="11">
        <f t="shared" si="27"/>
        <v>8878.7325000000001</v>
      </c>
      <c r="S76" s="11">
        <f t="shared" si="28"/>
        <v>8878.7325000000001</v>
      </c>
      <c r="T76" s="11">
        <f t="shared" si="29"/>
        <v>8465.1449970000012</v>
      </c>
      <c r="U76" s="11">
        <f t="shared" si="30"/>
        <v>8098.0497660000001</v>
      </c>
      <c r="V76" s="13">
        <f t="shared" si="31"/>
        <v>8878.7325000000001</v>
      </c>
      <c r="X76" s="30"/>
    </row>
    <row r="77" spans="1:24" x14ac:dyDescent="0.25">
      <c r="A77" s="8">
        <v>74</v>
      </c>
      <c r="B77" s="8">
        <v>20.024999999999999</v>
      </c>
      <c r="C77" s="8">
        <v>85.008899999999997</v>
      </c>
      <c r="D77" s="8" t="s">
        <v>7</v>
      </c>
      <c r="E77" s="8" t="s">
        <v>93</v>
      </c>
      <c r="F77" s="8">
        <v>3</v>
      </c>
      <c r="G77" s="8">
        <v>5752.17</v>
      </c>
      <c r="H77" s="8" t="s">
        <v>60</v>
      </c>
      <c r="I77" s="3">
        <f t="shared" si="18"/>
        <v>2.75</v>
      </c>
      <c r="J77" s="11">
        <f t="shared" si="19"/>
        <v>13695.916770000002</v>
      </c>
      <c r="K77" s="11">
        <f t="shared" si="20"/>
        <v>12715.747002</v>
      </c>
      <c r="L77" s="11">
        <f t="shared" si="21"/>
        <v>11576.817342</v>
      </c>
      <c r="M77" s="11">
        <f t="shared" si="22"/>
        <v>10398.197709</v>
      </c>
      <c r="N77" s="11">
        <f t="shared" si="23"/>
        <v>9021.1282110000011</v>
      </c>
      <c r="O77" s="11">
        <f t="shared" si="24"/>
        <v>9021.1282110000011</v>
      </c>
      <c r="P77" s="11">
        <f t="shared" si="25"/>
        <v>15818.467500000001</v>
      </c>
      <c r="Q77" s="11">
        <f t="shared" si="26"/>
        <v>15818.467500000001</v>
      </c>
      <c r="R77" s="11">
        <f t="shared" si="27"/>
        <v>15818.467500000001</v>
      </c>
      <c r="S77" s="11">
        <f t="shared" si="28"/>
        <v>15818.467500000001</v>
      </c>
      <c r="T77" s="11">
        <f t="shared" si="29"/>
        <v>15081.614523</v>
      </c>
      <c r="U77" s="11">
        <f t="shared" si="30"/>
        <v>14427.592794</v>
      </c>
      <c r="V77" s="13">
        <f t="shared" si="31"/>
        <v>15818.467500000001</v>
      </c>
      <c r="X77" s="30"/>
    </row>
    <row r="78" spans="1:24" x14ac:dyDescent="0.25">
      <c r="A78" s="8">
        <v>75</v>
      </c>
      <c r="B78" s="8">
        <v>20.024100000000001</v>
      </c>
      <c r="C78" s="8">
        <v>85.011399999999995</v>
      </c>
      <c r="D78" s="8" t="s">
        <v>7</v>
      </c>
      <c r="E78" s="8" t="s">
        <v>93</v>
      </c>
      <c r="F78" s="8">
        <v>3</v>
      </c>
      <c r="G78" s="8">
        <v>3904.01</v>
      </c>
      <c r="H78" s="8" t="s">
        <v>60</v>
      </c>
      <c r="I78" s="3">
        <f t="shared" si="18"/>
        <v>2.75</v>
      </c>
      <c r="J78" s="11">
        <f t="shared" si="19"/>
        <v>9295.4478100000015</v>
      </c>
      <c r="K78" s="11">
        <f t="shared" si="20"/>
        <v>8630.204506</v>
      </c>
      <c r="L78" s="11">
        <f t="shared" si="21"/>
        <v>7857.2105259999998</v>
      </c>
      <c r="M78" s="11">
        <f t="shared" si="22"/>
        <v>7057.2788770000006</v>
      </c>
      <c r="N78" s="11">
        <f t="shared" si="23"/>
        <v>6122.6588830000001</v>
      </c>
      <c r="O78" s="11">
        <f t="shared" si="24"/>
        <v>6122.6588830000001</v>
      </c>
      <c r="P78" s="11">
        <f t="shared" si="25"/>
        <v>10736.0275</v>
      </c>
      <c r="Q78" s="11">
        <f t="shared" si="26"/>
        <v>10736.0275</v>
      </c>
      <c r="R78" s="11">
        <f t="shared" si="27"/>
        <v>10736.0275</v>
      </c>
      <c r="S78" s="11">
        <f t="shared" si="28"/>
        <v>10736.0275</v>
      </c>
      <c r="T78" s="11">
        <f t="shared" si="29"/>
        <v>10235.923819000001</v>
      </c>
      <c r="U78" s="11">
        <f t="shared" si="30"/>
        <v>9792.0378820000005</v>
      </c>
      <c r="V78" s="13">
        <f t="shared" si="31"/>
        <v>10736.0275</v>
      </c>
      <c r="X78" s="30"/>
    </row>
    <row r="79" spans="1:24" x14ac:dyDescent="0.25">
      <c r="A79" s="8">
        <v>76</v>
      </c>
      <c r="B79" s="8">
        <v>20.023599999999998</v>
      </c>
      <c r="C79" s="8">
        <v>85.013900000000007</v>
      </c>
      <c r="D79" s="8" t="s">
        <v>7</v>
      </c>
      <c r="E79" s="8" t="s">
        <v>93</v>
      </c>
      <c r="F79" s="8">
        <v>2</v>
      </c>
      <c r="G79" s="8">
        <v>540.79999999999995</v>
      </c>
      <c r="H79" s="8" t="s">
        <v>60</v>
      </c>
      <c r="I79" s="3">
        <f t="shared" si="18"/>
        <v>1.75</v>
      </c>
      <c r="J79" s="11">
        <f t="shared" si="19"/>
        <v>746.84479999999996</v>
      </c>
      <c r="K79" s="11">
        <f t="shared" si="20"/>
        <v>654.69247999999993</v>
      </c>
      <c r="L79" s="11">
        <f t="shared" si="21"/>
        <v>547.61407999999994</v>
      </c>
      <c r="M79" s="11">
        <f t="shared" si="22"/>
        <v>436.80415999999997</v>
      </c>
      <c r="N79" s="11">
        <f t="shared" si="23"/>
        <v>307.33663999999999</v>
      </c>
      <c r="O79" s="11">
        <f t="shared" si="24"/>
        <v>307.33663999999999</v>
      </c>
      <c r="P79" s="11">
        <f t="shared" si="25"/>
        <v>946.39999999999986</v>
      </c>
      <c r="Q79" s="11">
        <f t="shared" si="26"/>
        <v>946.39999999999986</v>
      </c>
      <c r="R79" s="11">
        <f t="shared" si="27"/>
        <v>946.39999999999986</v>
      </c>
      <c r="S79" s="11">
        <f t="shared" si="28"/>
        <v>946.39999999999986</v>
      </c>
      <c r="T79" s="11">
        <f t="shared" si="29"/>
        <v>877.12351999999998</v>
      </c>
      <c r="U79" s="11">
        <f t="shared" si="30"/>
        <v>815.63455999999996</v>
      </c>
      <c r="V79" s="13">
        <f t="shared" si="31"/>
        <v>946.39999999999986</v>
      </c>
      <c r="X79" s="30"/>
    </row>
    <row r="80" spans="1:24" x14ac:dyDescent="0.25">
      <c r="A80" s="8">
        <v>77</v>
      </c>
      <c r="B80" s="8">
        <v>20.0214</v>
      </c>
      <c r="C80" s="8">
        <v>85.012900000000002</v>
      </c>
      <c r="D80" s="8" t="s">
        <v>7</v>
      </c>
      <c r="E80" s="8" t="s">
        <v>93</v>
      </c>
      <c r="F80" s="8">
        <v>3</v>
      </c>
      <c r="G80" s="8">
        <v>5804.55</v>
      </c>
      <c r="H80" s="8" t="s">
        <v>60</v>
      </c>
      <c r="I80" s="3">
        <f t="shared" si="18"/>
        <v>2.75</v>
      </c>
      <c r="J80" s="11">
        <f t="shared" si="19"/>
        <v>13820.633550000002</v>
      </c>
      <c r="K80" s="11">
        <f t="shared" si="20"/>
        <v>12831.53823</v>
      </c>
      <c r="L80" s="11">
        <f t="shared" si="21"/>
        <v>11682.23733</v>
      </c>
      <c r="M80" s="11">
        <f t="shared" si="22"/>
        <v>10492.885035000001</v>
      </c>
      <c r="N80" s="11">
        <f t="shared" si="23"/>
        <v>9103.2757650000003</v>
      </c>
      <c r="O80" s="11">
        <f t="shared" si="24"/>
        <v>9103.2757650000003</v>
      </c>
      <c r="P80" s="11">
        <f t="shared" si="25"/>
        <v>15962.512500000001</v>
      </c>
      <c r="Q80" s="11">
        <f t="shared" si="26"/>
        <v>15962.512500000001</v>
      </c>
      <c r="R80" s="11">
        <f t="shared" si="27"/>
        <v>15962.512500000001</v>
      </c>
      <c r="S80" s="11">
        <f t="shared" si="28"/>
        <v>15962.512500000001</v>
      </c>
      <c r="T80" s="11">
        <f t="shared" si="29"/>
        <v>15218.949645000001</v>
      </c>
      <c r="U80" s="11">
        <f t="shared" si="30"/>
        <v>14558.972310000001</v>
      </c>
      <c r="V80" s="13">
        <f t="shared" si="31"/>
        <v>15962.512500000001</v>
      </c>
      <c r="X80" s="30"/>
    </row>
    <row r="81" spans="1:24" x14ac:dyDescent="0.25">
      <c r="A81" s="8">
        <v>78</v>
      </c>
      <c r="B81" s="8">
        <v>20.022099999999998</v>
      </c>
      <c r="C81" s="8">
        <v>85.010199999999998</v>
      </c>
      <c r="D81" s="8" t="s">
        <v>7</v>
      </c>
      <c r="E81" s="8" t="s">
        <v>93</v>
      </c>
      <c r="F81" s="8">
        <v>2</v>
      </c>
      <c r="G81" s="8">
        <v>1723.81</v>
      </c>
      <c r="H81" s="8" t="s">
        <v>60</v>
      </c>
      <c r="I81" s="3">
        <f t="shared" si="18"/>
        <v>1.75</v>
      </c>
      <c r="J81" s="11">
        <f t="shared" si="19"/>
        <v>2380.5816099999997</v>
      </c>
      <c r="K81" s="11">
        <f t="shared" si="20"/>
        <v>2086.8443859999998</v>
      </c>
      <c r="L81" s="11">
        <f t="shared" si="21"/>
        <v>1745.530006</v>
      </c>
      <c r="M81" s="11">
        <f t="shared" si="22"/>
        <v>1392.3213369999999</v>
      </c>
      <c r="N81" s="11">
        <f t="shared" si="23"/>
        <v>979.64122299999997</v>
      </c>
      <c r="O81" s="11">
        <f t="shared" si="24"/>
        <v>979.64122299999997</v>
      </c>
      <c r="P81" s="11">
        <f t="shared" si="25"/>
        <v>3016.6675</v>
      </c>
      <c r="Q81" s="11">
        <f t="shared" si="26"/>
        <v>3016.6675</v>
      </c>
      <c r="R81" s="11">
        <f t="shared" si="27"/>
        <v>3016.6675</v>
      </c>
      <c r="S81" s="11">
        <f t="shared" si="28"/>
        <v>3016.6675</v>
      </c>
      <c r="T81" s="11">
        <f t="shared" si="29"/>
        <v>2795.8474390000001</v>
      </c>
      <c r="U81" s="11">
        <f t="shared" si="30"/>
        <v>2599.850242</v>
      </c>
      <c r="V81" s="13">
        <f t="shared" si="31"/>
        <v>3016.6675</v>
      </c>
      <c r="X81" s="30"/>
    </row>
    <row r="82" spans="1:24" x14ac:dyDescent="0.25">
      <c r="A82" s="8">
        <v>79</v>
      </c>
      <c r="B82" s="8">
        <v>20.0214</v>
      </c>
      <c r="C82" s="8">
        <v>85.009699999999995</v>
      </c>
      <c r="D82" s="8" t="s">
        <v>7</v>
      </c>
      <c r="E82" s="8" t="s">
        <v>93</v>
      </c>
      <c r="F82" s="8">
        <v>2.5</v>
      </c>
      <c r="G82" s="8">
        <v>306.52999999999997</v>
      </c>
      <c r="H82" s="8" t="s">
        <v>60</v>
      </c>
      <c r="I82" s="3">
        <f t="shared" si="18"/>
        <v>2.25</v>
      </c>
      <c r="J82" s="11">
        <f t="shared" si="19"/>
        <v>576.58292999999992</v>
      </c>
      <c r="K82" s="11">
        <f t="shared" si="20"/>
        <v>524.35021799999993</v>
      </c>
      <c r="L82" s="11">
        <f t="shared" si="21"/>
        <v>463.65727799999996</v>
      </c>
      <c r="M82" s="11">
        <f t="shared" si="22"/>
        <v>400.84928099999996</v>
      </c>
      <c r="N82" s="11">
        <f t="shared" si="23"/>
        <v>327.46599899999995</v>
      </c>
      <c r="O82" s="11">
        <f t="shared" si="24"/>
        <v>327.46599899999995</v>
      </c>
      <c r="P82" s="11">
        <f t="shared" si="25"/>
        <v>689.69249999999988</v>
      </c>
      <c r="Q82" s="11">
        <f t="shared" si="26"/>
        <v>689.69249999999988</v>
      </c>
      <c r="R82" s="11">
        <f t="shared" si="27"/>
        <v>689.69249999999988</v>
      </c>
      <c r="S82" s="11">
        <f t="shared" si="28"/>
        <v>689.69249999999988</v>
      </c>
      <c r="T82" s="11">
        <f t="shared" si="29"/>
        <v>650.42600700000003</v>
      </c>
      <c r="U82" s="11">
        <f t="shared" si="30"/>
        <v>615.57354599999996</v>
      </c>
      <c r="V82" s="13">
        <f t="shared" si="31"/>
        <v>689.69249999999988</v>
      </c>
      <c r="X82" s="30"/>
    </row>
    <row r="83" spans="1:24" x14ac:dyDescent="0.25">
      <c r="A83" s="8">
        <v>80</v>
      </c>
      <c r="B83" s="8">
        <v>20.0181</v>
      </c>
      <c r="C83" s="8">
        <v>85.013199999999998</v>
      </c>
      <c r="D83" s="8" t="s">
        <v>7</v>
      </c>
      <c r="E83" s="8" t="s">
        <v>93</v>
      </c>
      <c r="F83" s="8">
        <v>4</v>
      </c>
      <c r="G83" s="8">
        <v>7981.34</v>
      </c>
      <c r="H83" s="8" t="s">
        <v>60</v>
      </c>
      <c r="I83" s="3">
        <f t="shared" si="18"/>
        <v>3.75</v>
      </c>
      <c r="J83" s="11">
        <f t="shared" si="19"/>
        <v>26984.910540000001</v>
      </c>
      <c r="K83" s="11">
        <f t="shared" si="20"/>
        <v>25624.890203999999</v>
      </c>
      <c r="L83" s="11">
        <f t="shared" si="21"/>
        <v>24044.584884</v>
      </c>
      <c r="M83" s="11">
        <f t="shared" si="22"/>
        <v>22409.208318000001</v>
      </c>
      <c r="N83" s="11">
        <f t="shared" si="23"/>
        <v>20498.475522000001</v>
      </c>
      <c r="O83" s="11">
        <f t="shared" si="24"/>
        <v>20498.475522000001</v>
      </c>
      <c r="P83" s="11">
        <f t="shared" si="25"/>
        <v>29930.025000000001</v>
      </c>
      <c r="Q83" s="11">
        <f t="shared" si="26"/>
        <v>29930.025000000001</v>
      </c>
      <c r="R83" s="11">
        <f t="shared" si="27"/>
        <v>29930.025000000001</v>
      </c>
      <c r="S83" s="11">
        <f t="shared" si="28"/>
        <v>29930.025000000001</v>
      </c>
      <c r="T83" s="11">
        <f t="shared" si="29"/>
        <v>28907.615346000002</v>
      </c>
      <c r="U83" s="11">
        <f t="shared" si="30"/>
        <v>28000.136988000002</v>
      </c>
      <c r="V83" s="13">
        <f t="shared" si="31"/>
        <v>29930.025000000001</v>
      </c>
      <c r="X83" s="30"/>
    </row>
    <row r="84" spans="1:24" x14ac:dyDescent="0.25">
      <c r="A84" s="8">
        <v>81</v>
      </c>
      <c r="B84" s="8">
        <v>20.013400000000001</v>
      </c>
      <c r="C84" s="8">
        <v>85.0124</v>
      </c>
      <c r="D84" s="8" t="s">
        <v>7</v>
      </c>
      <c r="E84" s="8" t="s">
        <v>93</v>
      </c>
      <c r="F84" s="8">
        <v>2</v>
      </c>
      <c r="G84" s="8">
        <v>449.92</v>
      </c>
      <c r="H84" s="8" t="s">
        <v>60</v>
      </c>
      <c r="I84" s="3">
        <f t="shared" si="18"/>
        <v>1.75</v>
      </c>
      <c r="J84" s="11">
        <f t="shared" si="19"/>
        <v>621.33951999999999</v>
      </c>
      <c r="K84" s="11">
        <f t="shared" si="20"/>
        <v>544.67315199999996</v>
      </c>
      <c r="L84" s="11">
        <f t="shared" si="21"/>
        <v>455.58899200000002</v>
      </c>
      <c r="M84" s="11">
        <f t="shared" si="22"/>
        <v>363.40038399999997</v>
      </c>
      <c r="N84" s="11">
        <f t="shared" si="23"/>
        <v>255.68953600000003</v>
      </c>
      <c r="O84" s="11">
        <f t="shared" si="24"/>
        <v>255.68953600000003</v>
      </c>
      <c r="P84" s="11">
        <f t="shared" si="25"/>
        <v>787.36</v>
      </c>
      <c r="Q84" s="11">
        <f t="shared" si="26"/>
        <v>787.36</v>
      </c>
      <c r="R84" s="11">
        <f t="shared" si="27"/>
        <v>787.36</v>
      </c>
      <c r="S84" s="11">
        <f t="shared" si="28"/>
        <v>787.36</v>
      </c>
      <c r="T84" s="11">
        <f t="shared" si="29"/>
        <v>729.72524800000008</v>
      </c>
      <c r="U84" s="11">
        <f t="shared" si="30"/>
        <v>678.569344</v>
      </c>
      <c r="V84" s="13">
        <f t="shared" si="31"/>
        <v>787.36</v>
      </c>
      <c r="X84" s="30"/>
    </row>
    <row r="85" spans="1:24" x14ac:dyDescent="0.25">
      <c r="A85" s="8">
        <v>82</v>
      </c>
      <c r="B85" s="8">
        <v>20.010999999999999</v>
      </c>
      <c r="C85" s="8">
        <v>85.0107</v>
      </c>
      <c r="D85" s="8" t="s">
        <v>7</v>
      </c>
      <c r="E85" s="8" t="s">
        <v>93</v>
      </c>
      <c r="F85" s="8">
        <v>2</v>
      </c>
      <c r="G85" s="8">
        <v>1438.53</v>
      </c>
      <c r="H85" s="8" t="s">
        <v>60</v>
      </c>
      <c r="I85" s="3">
        <f t="shared" si="18"/>
        <v>1.75</v>
      </c>
      <c r="J85" s="11">
        <f t="shared" si="19"/>
        <v>1986.6099300000001</v>
      </c>
      <c r="K85" s="11">
        <f t="shared" si="20"/>
        <v>1741.4844179999998</v>
      </c>
      <c r="L85" s="11">
        <f t="shared" si="21"/>
        <v>1456.6554779999999</v>
      </c>
      <c r="M85" s="11">
        <f t="shared" si="22"/>
        <v>1161.9006809999998</v>
      </c>
      <c r="N85" s="11">
        <f t="shared" si="23"/>
        <v>817.51659900000004</v>
      </c>
      <c r="O85" s="11">
        <f t="shared" si="24"/>
        <v>817.51659900000004</v>
      </c>
      <c r="P85" s="11">
        <f t="shared" si="25"/>
        <v>2517.4274999999998</v>
      </c>
      <c r="Q85" s="11">
        <f t="shared" si="26"/>
        <v>2517.4274999999998</v>
      </c>
      <c r="R85" s="11">
        <f t="shared" si="27"/>
        <v>2517.4274999999998</v>
      </c>
      <c r="S85" s="11">
        <f t="shared" si="28"/>
        <v>2517.4274999999998</v>
      </c>
      <c r="T85" s="11">
        <f t="shared" si="29"/>
        <v>2333.1518070000002</v>
      </c>
      <c r="U85" s="11">
        <f t="shared" si="30"/>
        <v>2169.5909459999998</v>
      </c>
      <c r="V85" s="13">
        <f t="shared" si="31"/>
        <v>2517.4274999999998</v>
      </c>
      <c r="X85" s="30"/>
    </row>
    <row r="86" spans="1:24" x14ac:dyDescent="0.25">
      <c r="A86" s="8">
        <v>83</v>
      </c>
      <c r="B86" s="8">
        <v>20.0107</v>
      </c>
      <c r="C86" s="8">
        <v>85.010400000000004</v>
      </c>
      <c r="D86" s="8" t="s">
        <v>7</v>
      </c>
      <c r="E86" s="8" t="s">
        <v>93</v>
      </c>
      <c r="F86" s="8">
        <v>2</v>
      </c>
      <c r="G86" s="8">
        <v>4445.29</v>
      </c>
      <c r="H86" s="8" t="s">
        <v>60</v>
      </c>
      <c r="I86" s="3">
        <f t="shared" si="18"/>
        <v>1.75</v>
      </c>
      <c r="J86" s="11">
        <f t="shared" si="19"/>
        <v>6138.9454900000001</v>
      </c>
      <c r="K86" s="11">
        <f t="shared" si="20"/>
        <v>5381.4680739999994</v>
      </c>
      <c r="L86" s="11">
        <f t="shared" si="21"/>
        <v>4501.3006539999997</v>
      </c>
      <c r="M86" s="11">
        <f t="shared" si="22"/>
        <v>3590.4607329999999</v>
      </c>
      <c r="N86" s="11">
        <f t="shared" si="23"/>
        <v>2526.2583070000001</v>
      </c>
      <c r="O86" s="11">
        <f t="shared" si="24"/>
        <v>2526.2583070000001</v>
      </c>
      <c r="P86" s="11">
        <f t="shared" si="25"/>
        <v>7779.2574999999997</v>
      </c>
      <c r="Q86" s="11">
        <f t="shared" si="26"/>
        <v>7779.2574999999997</v>
      </c>
      <c r="R86" s="11">
        <f t="shared" si="27"/>
        <v>7779.2574999999997</v>
      </c>
      <c r="S86" s="11">
        <f t="shared" si="28"/>
        <v>7779.2574999999997</v>
      </c>
      <c r="T86" s="11">
        <f t="shared" si="29"/>
        <v>7209.8158510000003</v>
      </c>
      <c r="U86" s="11">
        <f t="shared" si="30"/>
        <v>6704.3863780000001</v>
      </c>
      <c r="V86" s="13">
        <f t="shared" si="31"/>
        <v>7779.2574999999997</v>
      </c>
      <c r="X86" s="30"/>
    </row>
    <row r="87" spans="1:24" x14ac:dyDescent="0.25">
      <c r="A87" s="8">
        <v>84</v>
      </c>
      <c r="B87" s="8">
        <v>20.008299999999998</v>
      </c>
      <c r="C87" s="8">
        <v>85.011700000000005</v>
      </c>
      <c r="D87" s="8" t="s">
        <v>7</v>
      </c>
      <c r="E87" s="8" t="s">
        <v>93</v>
      </c>
      <c r="F87" s="8">
        <v>4</v>
      </c>
      <c r="G87" s="8">
        <v>3804.96</v>
      </c>
      <c r="H87" s="8" t="s">
        <v>60</v>
      </c>
      <c r="I87" s="3">
        <f t="shared" si="18"/>
        <v>3.75</v>
      </c>
      <c r="J87" s="11">
        <f t="shared" si="19"/>
        <v>12864.56976</v>
      </c>
      <c r="K87" s="11">
        <f t="shared" si="20"/>
        <v>12216.204576</v>
      </c>
      <c r="L87" s="11">
        <f t="shared" si="21"/>
        <v>11462.822496000001</v>
      </c>
      <c r="M87" s="11">
        <f t="shared" si="22"/>
        <v>10683.186192000001</v>
      </c>
      <c r="N87" s="11">
        <f t="shared" si="23"/>
        <v>9772.2787680000001</v>
      </c>
      <c r="O87" s="11">
        <f t="shared" si="24"/>
        <v>9772.2787680000001</v>
      </c>
      <c r="P87" s="11">
        <f t="shared" si="25"/>
        <v>14268.6</v>
      </c>
      <c r="Q87" s="11">
        <f t="shared" si="26"/>
        <v>14268.6</v>
      </c>
      <c r="R87" s="11">
        <f t="shared" si="27"/>
        <v>14268.6</v>
      </c>
      <c r="S87" s="11">
        <f t="shared" si="28"/>
        <v>14268.6</v>
      </c>
      <c r="T87" s="11">
        <f t="shared" si="29"/>
        <v>13781.184624000001</v>
      </c>
      <c r="U87" s="11">
        <f t="shared" si="30"/>
        <v>13348.560672</v>
      </c>
      <c r="V87" s="13">
        <f t="shared" si="31"/>
        <v>14268.6</v>
      </c>
      <c r="X87" s="30"/>
    </row>
    <row r="88" spans="1:24" x14ac:dyDescent="0.25">
      <c r="A88" s="8">
        <v>85</v>
      </c>
      <c r="B88" s="8">
        <v>20.008299999999998</v>
      </c>
      <c r="C88" s="8">
        <v>85.014899999999997</v>
      </c>
      <c r="D88" s="8" t="s">
        <v>7</v>
      </c>
      <c r="E88" s="8" t="s">
        <v>93</v>
      </c>
      <c r="F88" s="8">
        <v>3</v>
      </c>
      <c r="G88" s="8">
        <v>1675.89</v>
      </c>
      <c r="H88" s="8" t="s">
        <v>58</v>
      </c>
      <c r="I88" s="3">
        <f t="shared" si="18"/>
        <v>2.75</v>
      </c>
      <c r="J88" s="11">
        <f t="shared" si="19"/>
        <v>3990.2940900000008</v>
      </c>
      <c r="K88" s="11">
        <f t="shared" si="20"/>
        <v>3704.7224340000002</v>
      </c>
      <c r="L88" s="11">
        <f t="shared" si="21"/>
        <v>3372.8962140000003</v>
      </c>
      <c r="M88" s="11">
        <f t="shared" si="22"/>
        <v>3029.5063530000002</v>
      </c>
      <c r="N88" s="11">
        <f t="shared" si="23"/>
        <v>2628.2982870000001</v>
      </c>
      <c r="O88" s="11">
        <f t="shared" si="24"/>
        <v>2628.2982870000001</v>
      </c>
      <c r="P88" s="11">
        <f t="shared" si="25"/>
        <v>4608.6975000000002</v>
      </c>
      <c r="Q88" s="11">
        <f t="shared" si="26"/>
        <v>4608.6975000000002</v>
      </c>
      <c r="R88" s="11">
        <f t="shared" si="27"/>
        <v>4608.6975000000002</v>
      </c>
      <c r="S88" s="11">
        <f t="shared" si="28"/>
        <v>4608.6975000000002</v>
      </c>
      <c r="T88" s="11">
        <f t="shared" si="29"/>
        <v>4394.0159910000002</v>
      </c>
      <c r="U88" s="11">
        <f t="shared" si="30"/>
        <v>4203.4672980000005</v>
      </c>
      <c r="V88" s="13">
        <f t="shared" si="31"/>
        <v>4608.6975000000002</v>
      </c>
      <c r="X88" s="30"/>
    </row>
    <row r="89" spans="1:24" x14ac:dyDescent="0.25">
      <c r="A89" s="8">
        <v>86</v>
      </c>
      <c r="B89" s="8">
        <v>20.008199999999999</v>
      </c>
      <c r="C89" s="8">
        <v>85.0154</v>
      </c>
      <c r="D89" s="8" t="s">
        <v>7</v>
      </c>
      <c r="E89" s="8" t="s">
        <v>93</v>
      </c>
      <c r="F89" s="8">
        <v>3</v>
      </c>
      <c r="G89" s="8">
        <v>2260.79</v>
      </c>
      <c r="H89" s="8" t="s">
        <v>58</v>
      </c>
      <c r="I89" s="3">
        <f t="shared" si="18"/>
        <v>2.75</v>
      </c>
      <c r="J89" s="11">
        <f t="shared" si="19"/>
        <v>5382.9409900000001</v>
      </c>
      <c r="K89" s="11">
        <f t="shared" si="20"/>
        <v>4997.7023739999995</v>
      </c>
      <c r="L89" s="11">
        <f t="shared" si="21"/>
        <v>4550.0659539999997</v>
      </c>
      <c r="M89" s="11">
        <f t="shared" si="22"/>
        <v>4086.8300830000003</v>
      </c>
      <c r="N89" s="11">
        <f t="shared" si="23"/>
        <v>3545.5969570000002</v>
      </c>
      <c r="O89" s="11">
        <f t="shared" si="24"/>
        <v>3545.5969570000002</v>
      </c>
      <c r="P89" s="11">
        <f t="shared" si="25"/>
        <v>6217.1724999999997</v>
      </c>
      <c r="Q89" s="11">
        <f t="shared" si="26"/>
        <v>6217.1724999999997</v>
      </c>
      <c r="R89" s="11">
        <f t="shared" si="27"/>
        <v>6217.1724999999997</v>
      </c>
      <c r="S89" s="11">
        <f t="shared" si="28"/>
        <v>6217.1724999999997</v>
      </c>
      <c r="T89" s="11">
        <f t="shared" si="29"/>
        <v>5927.5653010000005</v>
      </c>
      <c r="U89" s="11">
        <f t="shared" si="30"/>
        <v>5670.5134779999998</v>
      </c>
      <c r="V89" s="13">
        <f t="shared" si="31"/>
        <v>6217.1724999999997</v>
      </c>
      <c r="X89" s="30"/>
    </row>
    <row r="90" spans="1:24" x14ac:dyDescent="0.25">
      <c r="A90" s="8">
        <v>87</v>
      </c>
      <c r="B90" s="8">
        <v>20.0047</v>
      </c>
      <c r="C90" s="8">
        <v>85.030900000000003</v>
      </c>
      <c r="D90" s="8" t="s">
        <v>7</v>
      </c>
      <c r="E90" s="8" t="s">
        <v>93</v>
      </c>
      <c r="F90" s="8">
        <v>3</v>
      </c>
      <c r="G90" s="8">
        <v>6272.84</v>
      </c>
      <c r="H90" s="8" t="s">
        <v>58</v>
      </c>
      <c r="I90" s="3">
        <f t="shared" si="18"/>
        <v>2.75</v>
      </c>
      <c r="J90" s="11">
        <f t="shared" si="19"/>
        <v>14935.632040000002</v>
      </c>
      <c r="K90" s="11">
        <f t="shared" si="20"/>
        <v>13866.740104</v>
      </c>
      <c r="L90" s="11">
        <f t="shared" si="21"/>
        <v>12624.717784</v>
      </c>
      <c r="M90" s="11">
        <f t="shared" si="22"/>
        <v>11339.412868000001</v>
      </c>
      <c r="N90" s="11">
        <f t="shared" si="23"/>
        <v>9837.6949720000011</v>
      </c>
      <c r="O90" s="11">
        <f t="shared" si="24"/>
        <v>9837.6949720000011</v>
      </c>
      <c r="P90" s="11">
        <f t="shared" si="25"/>
        <v>17250.310000000001</v>
      </c>
      <c r="Q90" s="11">
        <f t="shared" si="26"/>
        <v>17250.310000000001</v>
      </c>
      <c r="R90" s="11">
        <f t="shared" si="27"/>
        <v>17250.310000000001</v>
      </c>
      <c r="S90" s="11">
        <f t="shared" si="28"/>
        <v>17250.310000000001</v>
      </c>
      <c r="T90" s="11">
        <f t="shared" si="29"/>
        <v>16446.759196000003</v>
      </c>
      <c r="U90" s="11">
        <f t="shared" si="30"/>
        <v>15733.537288</v>
      </c>
      <c r="V90" s="13">
        <f t="shared" si="31"/>
        <v>17250.310000000001</v>
      </c>
      <c r="X90" s="30"/>
    </row>
    <row r="91" spans="1:24" x14ac:dyDescent="0.25">
      <c r="A91" s="8">
        <v>89</v>
      </c>
      <c r="B91" s="8">
        <v>20.006399999999999</v>
      </c>
      <c r="C91" s="8">
        <v>85.034999999999997</v>
      </c>
      <c r="D91" s="8" t="s">
        <v>7</v>
      </c>
      <c r="E91" s="8" t="s">
        <v>93</v>
      </c>
      <c r="F91" s="8">
        <v>3</v>
      </c>
      <c r="G91" s="8">
        <v>6464.03</v>
      </c>
      <c r="H91" s="8" t="s">
        <v>58</v>
      </c>
      <c r="I91" s="3">
        <f t="shared" si="18"/>
        <v>2.75</v>
      </c>
      <c r="J91" s="11">
        <f t="shared" si="19"/>
        <v>15390.855430000001</v>
      </c>
      <c r="K91" s="11">
        <f t="shared" si="20"/>
        <v>14289.384717999999</v>
      </c>
      <c r="L91" s="11">
        <f t="shared" si="21"/>
        <v>13009.506777999999</v>
      </c>
      <c r="M91" s="11">
        <f t="shared" si="22"/>
        <v>11685.027031</v>
      </c>
      <c r="N91" s="11">
        <f t="shared" si="23"/>
        <v>10137.538248999999</v>
      </c>
      <c r="O91" s="11">
        <f t="shared" si="24"/>
        <v>10137.538248999999</v>
      </c>
      <c r="P91" s="11">
        <f t="shared" si="25"/>
        <v>17776.0825</v>
      </c>
      <c r="Q91" s="11">
        <f t="shared" si="26"/>
        <v>17776.0825</v>
      </c>
      <c r="R91" s="11">
        <f t="shared" si="27"/>
        <v>17776.0825</v>
      </c>
      <c r="S91" s="11">
        <f t="shared" si="28"/>
        <v>17776.0825</v>
      </c>
      <c r="T91" s="11">
        <f t="shared" si="29"/>
        <v>16948.040257000001</v>
      </c>
      <c r="U91" s="11">
        <f t="shared" si="30"/>
        <v>16213.080045999999</v>
      </c>
      <c r="V91" s="13">
        <f t="shared" si="31"/>
        <v>17776.0825</v>
      </c>
      <c r="X91" s="30"/>
    </row>
    <row r="92" spans="1:24" x14ac:dyDescent="0.25">
      <c r="A92" s="8">
        <v>90</v>
      </c>
      <c r="B92" s="8">
        <v>20.010999999999999</v>
      </c>
      <c r="C92" s="8">
        <v>85.030199999999994</v>
      </c>
      <c r="D92" s="8" t="s">
        <v>7</v>
      </c>
      <c r="E92" s="8" t="s">
        <v>93</v>
      </c>
      <c r="F92" s="8">
        <v>3</v>
      </c>
      <c r="G92" s="8">
        <v>5907.99</v>
      </c>
      <c r="H92" s="8" t="s">
        <v>58</v>
      </c>
      <c r="I92" s="3">
        <f t="shared" si="18"/>
        <v>2.75</v>
      </c>
      <c r="J92" s="11">
        <f t="shared" si="19"/>
        <v>14066.924190000002</v>
      </c>
      <c r="K92" s="11">
        <f t="shared" si="20"/>
        <v>13060.202694</v>
      </c>
      <c r="L92" s="11">
        <f t="shared" si="21"/>
        <v>11890.420673999999</v>
      </c>
      <c r="M92" s="11">
        <f t="shared" si="22"/>
        <v>10679.873523</v>
      </c>
      <c r="N92" s="11">
        <f t="shared" si="23"/>
        <v>9265.500716999999</v>
      </c>
      <c r="O92" s="11">
        <f t="shared" si="24"/>
        <v>9265.500716999999</v>
      </c>
      <c r="P92" s="11">
        <f t="shared" si="25"/>
        <v>16246.9725</v>
      </c>
      <c r="Q92" s="11">
        <f t="shared" si="26"/>
        <v>16246.9725</v>
      </c>
      <c r="R92" s="11">
        <f t="shared" si="27"/>
        <v>16246.9725</v>
      </c>
      <c r="S92" s="11">
        <f t="shared" si="28"/>
        <v>16246.9725</v>
      </c>
      <c r="T92" s="11">
        <f t="shared" si="29"/>
        <v>15490.158981</v>
      </c>
      <c r="U92" s="11">
        <f t="shared" si="30"/>
        <v>14818.420517999999</v>
      </c>
      <c r="V92" s="13">
        <f t="shared" si="31"/>
        <v>16246.9725</v>
      </c>
      <c r="X92" s="30"/>
    </row>
    <row r="93" spans="1:24" x14ac:dyDescent="0.25">
      <c r="A93" s="8">
        <v>91</v>
      </c>
      <c r="B93" s="8">
        <v>20.011700000000001</v>
      </c>
      <c r="C93" s="8">
        <v>85.028999999999996</v>
      </c>
      <c r="D93" s="8" t="s">
        <v>7</v>
      </c>
      <c r="E93" s="8" t="s">
        <v>93</v>
      </c>
      <c r="F93" s="8">
        <v>2</v>
      </c>
      <c r="G93" s="8">
        <v>614.14</v>
      </c>
      <c r="H93" s="8" t="s">
        <v>58</v>
      </c>
      <c r="I93" s="3">
        <f t="shared" si="18"/>
        <v>1.75</v>
      </c>
      <c r="J93" s="11">
        <f t="shared" si="19"/>
        <v>848.12734</v>
      </c>
      <c r="K93" s="11">
        <f t="shared" si="20"/>
        <v>743.4778839999999</v>
      </c>
      <c r="L93" s="11">
        <f t="shared" si="21"/>
        <v>621.87816399999997</v>
      </c>
      <c r="M93" s="11">
        <f t="shared" si="22"/>
        <v>496.04087799999996</v>
      </c>
      <c r="N93" s="11">
        <f t="shared" si="23"/>
        <v>349.015762</v>
      </c>
      <c r="O93" s="11">
        <f t="shared" si="24"/>
        <v>349.015762</v>
      </c>
      <c r="P93" s="11">
        <f t="shared" si="25"/>
        <v>1074.7449999999999</v>
      </c>
      <c r="Q93" s="11">
        <f t="shared" si="26"/>
        <v>1074.7449999999999</v>
      </c>
      <c r="R93" s="11">
        <f t="shared" si="27"/>
        <v>1074.7449999999999</v>
      </c>
      <c r="S93" s="11">
        <f t="shared" si="28"/>
        <v>1074.7449999999999</v>
      </c>
      <c r="T93" s="11">
        <f t="shared" si="29"/>
        <v>996.073666</v>
      </c>
      <c r="U93" s="11">
        <f t="shared" si="30"/>
        <v>926.245948</v>
      </c>
      <c r="V93" s="13">
        <f t="shared" si="31"/>
        <v>1074.7449999999999</v>
      </c>
      <c r="X93" s="30"/>
    </row>
    <row r="94" spans="1:24" x14ac:dyDescent="0.25">
      <c r="A94" s="8">
        <v>92</v>
      </c>
      <c r="B94" s="8">
        <v>20.011500000000002</v>
      </c>
      <c r="C94" s="8">
        <v>85.023300000000006</v>
      </c>
      <c r="D94" s="8" t="s">
        <v>7</v>
      </c>
      <c r="E94" s="8" t="s">
        <v>93</v>
      </c>
      <c r="F94" s="8">
        <v>4</v>
      </c>
      <c r="G94" s="8">
        <v>77727.92</v>
      </c>
      <c r="H94" s="8" t="s">
        <v>58</v>
      </c>
      <c r="I94" s="3">
        <f t="shared" si="18"/>
        <v>3.75</v>
      </c>
      <c r="J94" s="11">
        <f t="shared" si="19"/>
        <v>262798.09752000001</v>
      </c>
      <c r="K94" s="11">
        <f t="shared" si="20"/>
        <v>249553.25995199999</v>
      </c>
      <c r="L94" s="11">
        <f t="shared" si="21"/>
        <v>234163.131792</v>
      </c>
      <c r="M94" s="11">
        <f t="shared" si="22"/>
        <v>218236.68098400001</v>
      </c>
      <c r="N94" s="11">
        <f t="shared" si="23"/>
        <v>199628.61693599998</v>
      </c>
      <c r="O94" s="11">
        <f t="shared" si="24"/>
        <v>199628.61693599998</v>
      </c>
      <c r="P94" s="11">
        <f t="shared" si="25"/>
        <v>291479.7</v>
      </c>
      <c r="Q94" s="11">
        <f t="shared" si="26"/>
        <v>291479.7</v>
      </c>
      <c r="R94" s="11">
        <f t="shared" si="27"/>
        <v>291479.7</v>
      </c>
      <c r="S94" s="11">
        <f t="shared" si="28"/>
        <v>291479.7</v>
      </c>
      <c r="T94" s="11">
        <f t="shared" si="29"/>
        <v>281522.753448</v>
      </c>
      <c r="U94" s="11">
        <f t="shared" si="30"/>
        <v>272685.08894400002</v>
      </c>
      <c r="V94" s="13">
        <f t="shared" si="31"/>
        <v>291479.7</v>
      </c>
      <c r="X94" s="30"/>
    </row>
    <row r="95" spans="1:24" x14ac:dyDescent="0.25">
      <c r="A95" s="8">
        <v>93</v>
      </c>
      <c r="B95" s="8">
        <v>20.013999999999999</v>
      </c>
      <c r="C95" s="8">
        <v>85.018199999999993</v>
      </c>
      <c r="D95" s="8" t="s">
        <v>7</v>
      </c>
      <c r="E95" s="8" t="s">
        <v>93</v>
      </c>
      <c r="F95" s="8">
        <v>4</v>
      </c>
      <c r="G95" s="8">
        <v>9555.99</v>
      </c>
      <c r="H95" s="8" t="s">
        <v>58</v>
      </c>
      <c r="I95" s="3">
        <f t="shared" si="18"/>
        <v>3.75</v>
      </c>
      <c r="J95" s="11">
        <f t="shared" si="19"/>
        <v>32308.802190000002</v>
      </c>
      <c r="K95" s="11">
        <f t="shared" si="20"/>
        <v>30680.461493999999</v>
      </c>
      <c r="L95" s="11">
        <f t="shared" si="21"/>
        <v>28788.375474</v>
      </c>
      <c r="M95" s="11">
        <f t="shared" si="22"/>
        <v>26830.353123000001</v>
      </c>
      <c r="N95" s="11">
        <f t="shared" si="23"/>
        <v>24542.649116999997</v>
      </c>
      <c r="O95" s="11">
        <f t="shared" si="24"/>
        <v>24542.649116999997</v>
      </c>
      <c r="P95" s="11">
        <f t="shared" si="25"/>
        <v>35834.962500000001</v>
      </c>
      <c r="Q95" s="11">
        <f t="shared" si="26"/>
        <v>35834.962500000001</v>
      </c>
      <c r="R95" s="11">
        <f t="shared" si="27"/>
        <v>35834.962500000001</v>
      </c>
      <c r="S95" s="11">
        <f t="shared" si="28"/>
        <v>35834.962500000001</v>
      </c>
      <c r="T95" s="11">
        <f t="shared" si="29"/>
        <v>34610.840181</v>
      </c>
      <c r="U95" s="11">
        <f t="shared" si="30"/>
        <v>33524.324117999997</v>
      </c>
      <c r="V95" s="13">
        <f t="shared" si="31"/>
        <v>35834.962500000001</v>
      </c>
      <c r="X95" s="30"/>
    </row>
    <row r="96" spans="1:24" x14ac:dyDescent="0.25">
      <c r="A96" s="8">
        <v>94</v>
      </c>
      <c r="B96" s="8">
        <v>20.013300000000001</v>
      </c>
      <c r="C96" s="8">
        <v>85.025000000000006</v>
      </c>
      <c r="D96" s="8" t="s">
        <v>7</v>
      </c>
      <c r="E96" s="8" t="s">
        <v>93</v>
      </c>
      <c r="F96" s="8">
        <v>4</v>
      </c>
      <c r="G96" s="8">
        <v>18541.63</v>
      </c>
      <c r="H96" s="8" t="s">
        <v>58</v>
      </c>
      <c r="I96" s="3">
        <f t="shared" si="18"/>
        <v>3.75</v>
      </c>
      <c r="J96" s="11">
        <f t="shared" si="19"/>
        <v>62689.251030000007</v>
      </c>
      <c r="K96" s="11">
        <f t="shared" si="20"/>
        <v>59529.757278000005</v>
      </c>
      <c r="L96" s="11">
        <f t="shared" si="21"/>
        <v>55858.514538000003</v>
      </c>
      <c r="M96" s="11">
        <f t="shared" si="22"/>
        <v>52059.334551000007</v>
      </c>
      <c r="N96" s="11">
        <f t="shared" si="23"/>
        <v>47620.468328999996</v>
      </c>
      <c r="O96" s="11">
        <f t="shared" si="24"/>
        <v>47620.468328999996</v>
      </c>
      <c r="P96" s="11">
        <f t="shared" si="25"/>
        <v>69531.112500000003</v>
      </c>
      <c r="Q96" s="11">
        <f t="shared" si="26"/>
        <v>69531.112500000003</v>
      </c>
      <c r="R96" s="11">
        <f t="shared" si="27"/>
        <v>69531.112500000003</v>
      </c>
      <c r="S96" s="11">
        <f t="shared" si="28"/>
        <v>69531.112500000003</v>
      </c>
      <c r="T96" s="11">
        <f t="shared" si="29"/>
        <v>67155.929697</v>
      </c>
      <c r="U96" s="11">
        <f t="shared" si="30"/>
        <v>65047.746366000007</v>
      </c>
      <c r="V96" s="13">
        <f t="shared" si="31"/>
        <v>69531.112500000003</v>
      </c>
      <c r="X96" s="30"/>
    </row>
    <row r="97" spans="1:24" x14ac:dyDescent="0.25">
      <c r="A97" s="8">
        <v>95</v>
      </c>
      <c r="B97" s="8">
        <v>20.012599999999999</v>
      </c>
      <c r="C97" s="8">
        <v>85.0274</v>
      </c>
      <c r="D97" s="8" t="s">
        <v>7</v>
      </c>
      <c r="E97" s="8" t="s">
        <v>93</v>
      </c>
      <c r="F97" s="8">
        <v>3</v>
      </c>
      <c r="G97" s="8">
        <v>9692.23</v>
      </c>
      <c r="H97" s="8" t="s">
        <v>58</v>
      </c>
      <c r="I97" s="3">
        <f t="shared" si="18"/>
        <v>2.75</v>
      </c>
      <c r="J97" s="11">
        <f t="shared" si="19"/>
        <v>23077.199630000003</v>
      </c>
      <c r="K97" s="11">
        <f t="shared" si="20"/>
        <v>21425.643637999998</v>
      </c>
      <c r="L97" s="11">
        <f t="shared" si="21"/>
        <v>19506.582097999999</v>
      </c>
      <c r="M97" s="11">
        <f t="shared" si="22"/>
        <v>17520.644171</v>
      </c>
      <c r="N97" s="11">
        <f t="shared" si="23"/>
        <v>15200.324309</v>
      </c>
      <c r="O97" s="11">
        <f t="shared" si="24"/>
        <v>15200.324309</v>
      </c>
      <c r="P97" s="11">
        <f t="shared" si="25"/>
        <v>26653.6325</v>
      </c>
      <c r="Q97" s="11">
        <f t="shared" si="26"/>
        <v>26653.6325</v>
      </c>
      <c r="R97" s="11">
        <f t="shared" si="27"/>
        <v>26653.6325</v>
      </c>
      <c r="S97" s="11">
        <f t="shared" si="28"/>
        <v>26653.6325</v>
      </c>
      <c r="T97" s="11">
        <f t="shared" si="29"/>
        <v>25412.057837</v>
      </c>
      <c r="U97" s="11">
        <f t="shared" si="30"/>
        <v>24310.051285999998</v>
      </c>
      <c r="V97" s="13">
        <f t="shared" si="31"/>
        <v>26653.6325</v>
      </c>
      <c r="X97" s="30"/>
    </row>
    <row r="98" spans="1:24" x14ac:dyDescent="0.25">
      <c r="A98" s="8">
        <v>96</v>
      </c>
      <c r="B98" s="8">
        <v>20.013400000000001</v>
      </c>
      <c r="C98" s="8">
        <v>85.023499999999999</v>
      </c>
      <c r="D98" s="8" t="s">
        <v>7</v>
      </c>
      <c r="E98" s="8" t="s">
        <v>93</v>
      </c>
      <c r="F98" s="8">
        <v>3</v>
      </c>
      <c r="G98" s="8">
        <v>6920.4</v>
      </c>
      <c r="H98" s="8" t="s">
        <v>58</v>
      </c>
      <c r="I98" s="3">
        <f t="shared" si="18"/>
        <v>2.75</v>
      </c>
      <c r="J98" s="11">
        <f t="shared" si="19"/>
        <v>16477.472400000002</v>
      </c>
      <c r="K98" s="11">
        <f t="shared" si="20"/>
        <v>15298.236239999998</v>
      </c>
      <c r="L98" s="11">
        <f t="shared" si="21"/>
        <v>13927.997039999998</v>
      </c>
      <c r="M98" s="11">
        <f t="shared" si="22"/>
        <v>12510.007079999999</v>
      </c>
      <c r="N98" s="11">
        <f t="shared" si="23"/>
        <v>10853.26332</v>
      </c>
      <c r="O98" s="11">
        <f t="shared" si="24"/>
        <v>10853.26332</v>
      </c>
      <c r="P98" s="11">
        <f t="shared" si="25"/>
        <v>19031.099999999999</v>
      </c>
      <c r="Q98" s="11">
        <f t="shared" si="26"/>
        <v>19031.099999999999</v>
      </c>
      <c r="R98" s="11">
        <f t="shared" si="27"/>
        <v>19031.099999999999</v>
      </c>
      <c r="S98" s="11">
        <f t="shared" si="28"/>
        <v>19031.099999999999</v>
      </c>
      <c r="T98" s="11">
        <f t="shared" si="29"/>
        <v>18144.59676</v>
      </c>
      <c r="U98" s="11">
        <f t="shared" si="30"/>
        <v>17357.74728</v>
      </c>
      <c r="V98" s="13">
        <f t="shared" si="31"/>
        <v>19031.099999999999</v>
      </c>
      <c r="X98" s="30"/>
    </row>
    <row r="99" spans="1:24" x14ac:dyDescent="0.25">
      <c r="A99" s="8">
        <v>97</v>
      </c>
      <c r="B99" s="8">
        <v>20.0151</v>
      </c>
      <c r="C99" s="8">
        <v>85.025300000000001</v>
      </c>
      <c r="D99" s="8" t="s">
        <v>7</v>
      </c>
      <c r="E99" s="8" t="s">
        <v>93</v>
      </c>
      <c r="F99" s="8">
        <v>3</v>
      </c>
      <c r="G99" s="8">
        <v>431.47</v>
      </c>
      <c r="H99" s="8" t="s">
        <v>58</v>
      </c>
      <c r="I99" s="3">
        <f t="shared" si="18"/>
        <v>2.75</v>
      </c>
      <c r="J99" s="11">
        <f t="shared" si="19"/>
        <v>1027.3300700000002</v>
      </c>
      <c r="K99" s="11">
        <f t="shared" si="20"/>
        <v>953.80758200000002</v>
      </c>
      <c r="L99" s="11">
        <f t="shared" si="21"/>
        <v>868.37652200000002</v>
      </c>
      <c r="M99" s="11">
        <f t="shared" si="22"/>
        <v>779.96831900000006</v>
      </c>
      <c r="N99" s="11">
        <f t="shared" si="23"/>
        <v>676.6744010000001</v>
      </c>
      <c r="O99" s="11">
        <f t="shared" si="24"/>
        <v>676.6744010000001</v>
      </c>
      <c r="P99" s="11">
        <f t="shared" si="25"/>
        <v>1186.5425</v>
      </c>
      <c r="Q99" s="11">
        <f t="shared" si="26"/>
        <v>1186.5425</v>
      </c>
      <c r="R99" s="11">
        <f t="shared" si="27"/>
        <v>1186.5425</v>
      </c>
      <c r="S99" s="11">
        <f t="shared" si="28"/>
        <v>1186.5425</v>
      </c>
      <c r="T99" s="11">
        <f t="shared" si="29"/>
        <v>1131.271193</v>
      </c>
      <c r="U99" s="11">
        <f t="shared" si="30"/>
        <v>1082.2130540000001</v>
      </c>
      <c r="V99" s="13">
        <f t="shared" si="31"/>
        <v>1186.5425</v>
      </c>
      <c r="X99" s="30"/>
    </row>
    <row r="100" spans="1:24" x14ac:dyDescent="0.25">
      <c r="A100" s="8">
        <v>98</v>
      </c>
      <c r="B100" s="8">
        <v>20.0167</v>
      </c>
      <c r="C100" s="8">
        <v>85.024900000000002</v>
      </c>
      <c r="D100" s="8" t="s">
        <v>7</v>
      </c>
      <c r="E100" s="8" t="s">
        <v>93</v>
      </c>
      <c r="F100" s="8">
        <v>4</v>
      </c>
      <c r="G100" s="8">
        <v>1313.77</v>
      </c>
      <c r="H100" s="8" t="s">
        <v>58</v>
      </c>
      <c r="I100" s="3">
        <f t="shared" si="18"/>
        <v>3.75</v>
      </c>
      <c r="J100" s="11">
        <f t="shared" si="19"/>
        <v>4441.8563700000004</v>
      </c>
      <c r="K100" s="11">
        <f t="shared" si="20"/>
        <v>4217.9899619999997</v>
      </c>
      <c r="L100" s="11">
        <f t="shared" si="21"/>
        <v>3957.8635019999997</v>
      </c>
      <c r="M100" s="11">
        <f t="shared" si="22"/>
        <v>3688.6720289999998</v>
      </c>
      <c r="N100" s="11">
        <f t="shared" si="23"/>
        <v>3374.1554909999995</v>
      </c>
      <c r="O100" s="11">
        <f t="shared" si="24"/>
        <v>3374.1554909999995</v>
      </c>
      <c r="P100" s="11">
        <f t="shared" si="25"/>
        <v>4926.6374999999998</v>
      </c>
      <c r="Q100" s="11">
        <f t="shared" si="26"/>
        <v>4926.6374999999998</v>
      </c>
      <c r="R100" s="11">
        <f t="shared" si="27"/>
        <v>4926.6374999999998</v>
      </c>
      <c r="S100" s="11">
        <f t="shared" si="28"/>
        <v>4926.6374999999998</v>
      </c>
      <c r="T100" s="11">
        <f t="shared" si="29"/>
        <v>4758.3435630000004</v>
      </c>
      <c r="U100" s="11">
        <f t="shared" si="30"/>
        <v>4608.9679139999998</v>
      </c>
      <c r="V100" s="13">
        <f t="shared" si="31"/>
        <v>4926.6374999999998</v>
      </c>
      <c r="X100" s="30"/>
    </row>
    <row r="101" spans="1:24" x14ac:dyDescent="0.25">
      <c r="A101" s="8">
        <v>99</v>
      </c>
      <c r="B101" s="8">
        <v>20.018699999999999</v>
      </c>
      <c r="C101" s="8">
        <v>85.022800000000004</v>
      </c>
      <c r="D101" s="8" t="s">
        <v>7</v>
      </c>
      <c r="E101" s="8" t="s">
        <v>93</v>
      </c>
      <c r="F101" s="8">
        <v>4</v>
      </c>
      <c r="G101" s="8">
        <v>8623.17</v>
      </c>
      <c r="H101" s="8" t="s">
        <v>58</v>
      </c>
      <c r="I101" s="3">
        <f t="shared" si="18"/>
        <v>3.75</v>
      </c>
      <c r="J101" s="11">
        <f t="shared" si="19"/>
        <v>29154.93777</v>
      </c>
      <c r="K101" s="11">
        <f t="shared" si="20"/>
        <v>27685.549601999999</v>
      </c>
      <c r="L101" s="11">
        <f t="shared" si="21"/>
        <v>25978.161941999999</v>
      </c>
      <c r="M101" s="11">
        <f t="shared" si="22"/>
        <v>24211.274409000001</v>
      </c>
      <c r="N101" s="11">
        <f t="shared" si="23"/>
        <v>22146.887510999997</v>
      </c>
      <c r="O101" s="11">
        <f t="shared" si="24"/>
        <v>22146.887510999997</v>
      </c>
      <c r="P101" s="11">
        <f t="shared" si="25"/>
        <v>32336.887500000001</v>
      </c>
      <c r="Q101" s="11">
        <f t="shared" si="26"/>
        <v>32336.887500000001</v>
      </c>
      <c r="R101" s="11">
        <f t="shared" si="27"/>
        <v>32336.887500000001</v>
      </c>
      <c r="S101" s="11">
        <f t="shared" si="28"/>
        <v>32336.887500000001</v>
      </c>
      <c r="T101" s="11">
        <f t="shared" si="29"/>
        <v>31232.259423</v>
      </c>
      <c r="U101" s="11">
        <f t="shared" si="30"/>
        <v>30251.804994000002</v>
      </c>
      <c r="V101" s="13">
        <f t="shared" si="31"/>
        <v>32336.887500000001</v>
      </c>
      <c r="X101" s="30"/>
    </row>
    <row r="102" spans="1:24" x14ac:dyDescent="0.25">
      <c r="A102" s="8">
        <v>100</v>
      </c>
      <c r="B102" s="8">
        <v>20.0183</v>
      </c>
      <c r="C102" s="8">
        <v>85.026399999999995</v>
      </c>
      <c r="D102" s="8" t="s">
        <v>7</v>
      </c>
      <c r="E102" s="8" t="s">
        <v>93</v>
      </c>
      <c r="F102" s="8">
        <v>3</v>
      </c>
      <c r="G102" s="8">
        <v>1037.19</v>
      </c>
      <c r="H102" s="8" t="s">
        <v>58</v>
      </c>
      <c r="I102" s="3">
        <f t="shared" si="18"/>
        <v>2.75</v>
      </c>
      <c r="J102" s="11">
        <f t="shared" si="19"/>
        <v>2469.5493900000006</v>
      </c>
      <c r="K102" s="11">
        <f t="shared" si="20"/>
        <v>2292.812214</v>
      </c>
      <c r="L102" s="11">
        <f t="shared" si="21"/>
        <v>2087.448594</v>
      </c>
      <c r="M102" s="11">
        <f t="shared" si="22"/>
        <v>1874.9283630000002</v>
      </c>
      <c r="N102" s="11">
        <f t="shared" si="23"/>
        <v>1626.6250770000001</v>
      </c>
      <c r="O102" s="11">
        <f t="shared" si="24"/>
        <v>1626.6250770000001</v>
      </c>
      <c r="P102" s="11">
        <f t="shared" si="25"/>
        <v>2852.2725</v>
      </c>
      <c r="Q102" s="11">
        <f t="shared" si="26"/>
        <v>2852.2725</v>
      </c>
      <c r="R102" s="11">
        <f t="shared" si="27"/>
        <v>2852.2725</v>
      </c>
      <c r="S102" s="11">
        <f t="shared" si="28"/>
        <v>2852.2725</v>
      </c>
      <c r="T102" s="11">
        <f t="shared" si="29"/>
        <v>2719.4084610000004</v>
      </c>
      <c r="U102" s="11">
        <f t="shared" si="30"/>
        <v>2601.4799579999999</v>
      </c>
      <c r="V102" s="13">
        <f t="shared" si="31"/>
        <v>2852.2725</v>
      </c>
      <c r="X102" s="30"/>
    </row>
    <row r="103" spans="1:24" x14ac:dyDescent="0.25">
      <c r="A103" s="8">
        <v>101</v>
      </c>
      <c r="B103" s="8">
        <v>20.017299999999999</v>
      </c>
      <c r="C103" s="8">
        <v>85.028099999999995</v>
      </c>
      <c r="D103" s="8" t="s">
        <v>7</v>
      </c>
      <c r="E103" s="8" t="s">
        <v>93</v>
      </c>
      <c r="F103" s="8">
        <v>4</v>
      </c>
      <c r="G103" s="8">
        <v>10683.82</v>
      </c>
      <c r="H103" s="8" t="s">
        <v>58</v>
      </c>
      <c r="I103" s="3">
        <f t="shared" si="18"/>
        <v>3.75</v>
      </c>
      <c r="J103" s="11">
        <f t="shared" si="19"/>
        <v>36121.995419999999</v>
      </c>
      <c r="K103" s="11">
        <f t="shared" si="20"/>
        <v>34301.472492000001</v>
      </c>
      <c r="L103" s="11">
        <f t="shared" si="21"/>
        <v>32186.076131999998</v>
      </c>
      <c r="M103" s="11">
        <f t="shared" si="22"/>
        <v>29996.961414000001</v>
      </c>
      <c r="N103" s="11">
        <f t="shared" si="23"/>
        <v>27439.254905999998</v>
      </c>
      <c r="O103" s="11">
        <f t="shared" si="24"/>
        <v>27439.254905999998</v>
      </c>
      <c r="P103" s="11">
        <f t="shared" si="25"/>
        <v>40064.324999999997</v>
      </c>
      <c r="Q103" s="11">
        <f t="shared" si="26"/>
        <v>40064.324999999997</v>
      </c>
      <c r="R103" s="11">
        <f t="shared" si="27"/>
        <v>40064.324999999997</v>
      </c>
      <c r="S103" s="11">
        <f t="shared" si="28"/>
        <v>40064.324999999997</v>
      </c>
      <c r="T103" s="11">
        <f t="shared" si="29"/>
        <v>38695.727658000003</v>
      </c>
      <c r="U103" s="11">
        <f t="shared" si="30"/>
        <v>37480.977323999999</v>
      </c>
      <c r="V103" s="13">
        <f t="shared" si="31"/>
        <v>40064.324999999997</v>
      </c>
      <c r="X103" s="30"/>
    </row>
    <row r="104" spans="1:24" x14ac:dyDescent="0.25">
      <c r="A104" s="8">
        <v>102</v>
      </c>
      <c r="B104" s="8">
        <v>20.015799999999999</v>
      </c>
      <c r="C104" s="8">
        <v>85.029200000000003</v>
      </c>
      <c r="D104" s="8" t="s">
        <v>7</v>
      </c>
      <c r="E104" s="8" t="s">
        <v>93</v>
      </c>
      <c r="F104" s="8">
        <v>4</v>
      </c>
      <c r="G104" s="8">
        <v>6495.81</v>
      </c>
      <c r="H104" s="8" t="s">
        <v>58</v>
      </c>
      <c r="I104" s="3">
        <f t="shared" si="18"/>
        <v>3.75</v>
      </c>
      <c r="J104" s="11">
        <f t="shared" si="19"/>
        <v>21962.333610000001</v>
      </c>
      <c r="K104" s="11">
        <f t="shared" si="20"/>
        <v>20855.447586000002</v>
      </c>
      <c r="L104" s="11">
        <f t="shared" si="21"/>
        <v>19569.277206000002</v>
      </c>
      <c r="M104" s="11">
        <f t="shared" si="22"/>
        <v>18238.285737000002</v>
      </c>
      <c r="N104" s="11">
        <f t="shared" si="23"/>
        <v>16683.188823</v>
      </c>
      <c r="O104" s="11">
        <f t="shared" si="24"/>
        <v>16683.188823</v>
      </c>
      <c r="P104" s="11">
        <f t="shared" si="25"/>
        <v>24359.287500000002</v>
      </c>
      <c r="Q104" s="11">
        <f t="shared" si="26"/>
        <v>24359.287500000002</v>
      </c>
      <c r="R104" s="11">
        <f t="shared" si="27"/>
        <v>24359.287500000002</v>
      </c>
      <c r="S104" s="11">
        <f t="shared" si="28"/>
        <v>24359.287500000002</v>
      </c>
      <c r="T104" s="11">
        <f t="shared" si="29"/>
        <v>23527.174239000004</v>
      </c>
      <c r="U104" s="11">
        <f t="shared" si="30"/>
        <v>22788.600642000001</v>
      </c>
      <c r="V104" s="13">
        <f t="shared" si="31"/>
        <v>24359.287500000002</v>
      </c>
      <c r="X104" s="30"/>
    </row>
    <row r="105" spans="1:24" x14ac:dyDescent="0.25">
      <c r="A105" s="8">
        <v>103</v>
      </c>
      <c r="B105" s="8">
        <v>20.016300000000001</v>
      </c>
      <c r="C105" s="8">
        <v>85.029499999999999</v>
      </c>
      <c r="D105" s="8" t="s">
        <v>7</v>
      </c>
      <c r="E105" s="8" t="s">
        <v>93</v>
      </c>
      <c r="F105" s="8">
        <v>4</v>
      </c>
      <c r="G105" s="8">
        <v>2316.37</v>
      </c>
      <c r="H105" s="8" t="s">
        <v>58</v>
      </c>
      <c r="I105" s="3">
        <f t="shared" si="18"/>
        <v>3.75</v>
      </c>
      <c r="J105" s="11">
        <f t="shared" si="19"/>
        <v>7831.6469699999998</v>
      </c>
      <c r="K105" s="11">
        <f t="shared" si="20"/>
        <v>7436.9375219999993</v>
      </c>
      <c r="L105" s="11">
        <f t="shared" si="21"/>
        <v>6978.2962619999998</v>
      </c>
      <c r="M105" s="11">
        <f t="shared" si="22"/>
        <v>6503.6720489999998</v>
      </c>
      <c r="N105" s="11">
        <f t="shared" si="23"/>
        <v>5949.1330709999993</v>
      </c>
      <c r="O105" s="11">
        <f t="shared" si="24"/>
        <v>5949.1330709999993</v>
      </c>
      <c r="P105" s="11">
        <f t="shared" si="25"/>
        <v>8686.3874999999989</v>
      </c>
      <c r="Q105" s="11">
        <f t="shared" si="26"/>
        <v>8686.3874999999989</v>
      </c>
      <c r="R105" s="11">
        <f t="shared" si="27"/>
        <v>8686.3874999999989</v>
      </c>
      <c r="S105" s="11">
        <f t="shared" si="28"/>
        <v>8686.3874999999989</v>
      </c>
      <c r="T105" s="11">
        <f t="shared" si="29"/>
        <v>8389.6605029999992</v>
      </c>
      <c r="U105" s="11">
        <f t="shared" si="30"/>
        <v>8126.2892339999999</v>
      </c>
      <c r="V105" s="13">
        <f t="shared" si="31"/>
        <v>8686.3874999999989</v>
      </c>
      <c r="X105" s="30"/>
    </row>
    <row r="106" spans="1:24" x14ac:dyDescent="0.25">
      <c r="A106" s="8">
        <v>104</v>
      </c>
      <c r="B106" s="8">
        <v>20.014099999999999</v>
      </c>
      <c r="C106" s="8">
        <v>85.03</v>
      </c>
      <c r="D106" s="8" t="s">
        <v>7</v>
      </c>
      <c r="E106" s="8" t="s">
        <v>93</v>
      </c>
      <c r="F106" s="8">
        <v>2</v>
      </c>
      <c r="G106" s="8">
        <v>882.12</v>
      </c>
      <c r="H106" s="8" t="s">
        <v>58</v>
      </c>
      <c r="I106" s="3">
        <f t="shared" si="18"/>
        <v>1.75</v>
      </c>
      <c r="J106" s="11">
        <f t="shared" si="19"/>
        <v>1218.2077200000001</v>
      </c>
      <c r="K106" s="11">
        <f t="shared" si="20"/>
        <v>1067.894472</v>
      </c>
      <c r="L106" s="11">
        <f t="shared" si="21"/>
        <v>893.23471199999994</v>
      </c>
      <c r="M106" s="11">
        <f t="shared" si="22"/>
        <v>712.48832400000003</v>
      </c>
      <c r="N106" s="11">
        <f t="shared" si="23"/>
        <v>501.30879600000003</v>
      </c>
      <c r="O106" s="11">
        <f t="shared" si="24"/>
        <v>501.30879600000003</v>
      </c>
      <c r="P106" s="11">
        <f t="shared" si="25"/>
        <v>1543.71</v>
      </c>
      <c r="Q106" s="11">
        <f t="shared" si="26"/>
        <v>1543.71</v>
      </c>
      <c r="R106" s="11">
        <f t="shared" si="27"/>
        <v>1543.71</v>
      </c>
      <c r="S106" s="11">
        <f t="shared" si="28"/>
        <v>1543.71</v>
      </c>
      <c r="T106" s="11">
        <f t="shared" si="29"/>
        <v>1430.7104280000001</v>
      </c>
      <c r="U106" s="11">
        <f t="shared" si="30"/>
        <v>1330.413384</v>
      </c>
      <c r="V106" s="13">
        <f t="shared" si="31"/>
        <v>1543.71</v>
      </c>
      <c r="X106" s="30"/>
    </row>
    <row r="107" spans="1:24" x14ac:dyDescent="0.25">
      <c r="A107" s="8">
        <v>105</v>
      </c>
      <c r="B107" s="8">
        <v>20.0154</v>
      </c>
      <c r="C107" s="8">
        <v>85.032799999999995</v>
      </c>
      <c r="D107" s="8" t="s">
        <v>7</v>
      </c>
      <c r="E107" s="8" t="s">
        <v>93</v>
      </c>
      <c r="F107" s="8">
        <v>4</v>
      </c>
      <c r="G107" s="8">
        <v>20631.64</v>
      </c>
      <c r="H107" s="8" t="s">
        <v>58</v>
      </c>
      <c r="I107" s="3">
        <f t="shared" si="18"/>
        <v>3.75</v>
      </c>
      <c r="J107" s="11">
        <f t="shared" si="19"/>
        <v>69755.574840000001</v>
      </c>
      <c r="K107" s="11">
        <f t="shared" si="20"/>
        <v>66239.943383999998</v>
      </c>
      <c r="L107" s="11">
        <f t="shared" si="21"/>
        <v>62154.878663999996</v>
      </c>
      <c r="M107" s="11">
        <f t="shared" si="22"/>
        <v>57927.455628000003</v>
      </c>
      <c r="N107" s="11">
        <f t="shared" si="23"/>
        <v>52988.241011999991</v>
      </c>
      <c r="O107" s="11">
        <f t="shared" si="24"/>
        <v>52988.241011999991</v>
      </c>
      <c r="P107" s="11">
        <f t="shared" si="25"/>
        <v>77368.649999999994</v>
      </c>
      <c r="Q107" s="11">
        <f t="shared" si="26"/>
        <v>77368.649999999994</v>
      </c>
      <c r="R107" s="11">
        <f t="shared" si="27"/>
        <v>77368.649999999994</v>
      </c>
      <c r="S107" s="11">
        <f t="shared" si="28"/>
        <v>77368.649999999994</v>
      </c>
      <c r="T107" s="11">
        <f t="shared" si="29"/>
        <v>74725.736915999994</v>
      </c>
      <c r="U107" s="11">
        <f t="shared" si="30"/>
        <v>72379.919448000001</v>
      </c>
      <c r="V107" s="13">
        <f t="shared" si="31"/>
        <v>77368.649999999994</v>
      </c>
      <c r="X107" s="30"/>
    </row>
    <row r="108" spans="1:24" x14ac:dyDescent="0.25">
      <c r="A108" s="8">
        <v>106</v>
      </c>
      <c r="B108" s="8">
        <v>20.017199999999999</v>
      </c>
      <c r="C108" s="8">
        <v>85.038799999999995</v>
      </c>
      <c r="D108" s="8" t="s">
        <v>7</v>
      </c>
      <c r="E108" s="8" t="s">
        <v>93</v>
      </c>
      <c r="F108" s="8">
        <v>4</v>
      </c>
      <c r="G108" s="8">
        <v>9289.52</v>
      </c>
      <c r="H108" s="8" t="s">
        <v>58</v>
      </c>
      <c r="I108" s="3">
        <f t="shared" si="18"/>
        <v>3.75</v>
      </c>
      <c r="J108" s="11">
        <f t="shared" si="19"/>
        <v>31407.867120000003</v>
      </c>
      <c r="K108" s="11">
        <f t="shared" si="20"/>
        <v>29824.932912</v>
      </c>
      <c r="L108" s="11">
        <f t="shared" si="21"/>
        <v>27985.607952000002</v>
      </c>
      <c r="M108" s="11">
        <f t="shared" si="22"/>
        <v>26082.185304000002</v>
      </c>
      <c r="N108" s="11">
        <f t="shared" si="23"/>
        <v>23858.274215999998</v>
      </c>
      <c r="O108" s="11">
        <f t="shared" si="24"/>
        <v>23858.274215999998</v>
      </c>
      <c r="P108" s="11">
        <f t="shared" si="25"/>
        <v>34835.700000000004</v>
      </c>
      <c r="Q108" s="11">
        <f t="shared" si="26"/>
        <v>34835.700000000004</v>
      </c>
      <c r="R108" s="11">
        <f t="shared" si="27"/>
        <v>34835.700000000004</v>
      </c>
      <c r="S108" s="11">
        <f t="shared" si="28"/>
        <v>34835.700000000004</v>
      </c>
      <c r="T108" s="11">
        <f t="shared" si="29"/>
        <v>33645.712488000005</v>
      </c>
      <c r="U108" s="11">
        <f t="shared" si="30"/>
        <v>32589.494064000002</v>
      </c>
      <c r="V108" s="13">
        <f t="shared" si="31"/>
        <v>34835.700000000004</v>
      </c>
      <c r="X108" s="30"/>
    </row>
    <row r="109" spans="1:24" x14ac:dyDescent="0.25">
      <c r="A109" s="8">
        <v>107</v>
      </c>
      <c r="B109" s="8">
        <v>20.019500000000001</v>
      </c>
      <c r="C109" s="8">
        <v>85.043700000000001</v>
      </c>
      <c r="D109" s="8" t="s">
        <v>7</v>
      </c>
      <c r="E109" s="8" t="s">
        <v>93</v>
      </c>
      <c r="F109" s="8">
        <v>4</v>
      </c>
      <c r="G109" s="8">
        <v>11403.69</v>
      </c>
      <c r="H109" s="8" t="s">
        <v>58</v>
      </c>
      <c r="I109" s="3">
        <f t="shared" si="18"/>
        <v>3.75</v>
      </c>
      <c r="J109" s="11">
        <f t="shared" si="19"/>
        <v>38555.875890000003</v>
      </c>
      <c r="K109" s="11">
        <f t="shared" si="20"/>
        <v>36612.687114</v>
      </c>
      <c r="L109" s="11">
        <f t="shared" si="21"/>
        <v>34354.756494000001</v>
      </c>
      <c r="M109" s="11">
        <f t="shared" si="22"/>
        <v>32018.140413000001</v>
      </c>
      <c r="N109" s="11">
        <f t="shared" si="23"/>
        <v>29288.097027</v>
      </c>
      <c r="O109" s="11">
        <f t="shared" si="24"/>
        <v>29288.097027</v>
      </c>
      <c r="P109" s="11">
        <f t="shared" si="25"/>
        <v>42763.837500000001</v>
      </c>
      <c r="Q109" s="11">
        <f t="shared" si="26"/>
        <v>42763.837500000001</v>
      </c>
      <c r="R109" s="11">
        <f t="shared" si="27"/>
        <v>42763.837500000001</v>
      </c>
      <c r="S109" s="11">
        <f t="shared" si="28"/>
        <v>42763.837500000001</v>
      </c>
      <c r="T109" s="11">
        <f t="shared" si="29"/>
        <v>41303.024811000003</v>
      </c>
      <c r="U109" s="11">
        <f t="shared" si="30"/>
        <v>40006.425258000003</v>
      </c>
      <c r="V109" s="13">
        <f t="shared" si="31"/>
        <v>42763.837500000001</v>
      </c>
      <c r="X109" s="30"/>
    </row>
    <row r="110" spans="1:24" x14ac:dyDescent="0.25">
      <c r="A110" s="8">
        <v>108</v>
      </c>
      <c r="B110" s="8">
        <v>20.0184</v>
      </c>
      <c r="C110" s="8">
        <v>85.043000000000006</v>
      </c>
      <c r="D110" s="8" t="s">
        <v>7</v>
      </c>
      <c r="E110" s="8" t="s">
        <v>93</v>
      </c>
      <c r="F110" s="8">
        <v>2</v>
      </c>
      <c r="G110" s="8">
        <v>1136.1400000000001</v>
      </c>
      <c r="H110" s="8" t="s">
        <v>58</v>
      </c>
      <c r="I110" s="3">
        <f t="shared" si="18"/>
        <v>1.75</v>
      </c>
      <c r="J110" s="11">
        <f t="shared" si="19"/>
        <v>1569.0093400000001</v>
      </c>
      <c r="K110" s="11">
        <f t="shared" si="20"/>
        <v>1375.4110840000001</v>
      </c>
      <c r="L110" s="11">
        <f t="shared" si="21"/>
        <v>1150.4553640000001</v>
      </c>
      <c r="M110" s="11">
        <f t="shared" si="22"/>
        <v>917.66027800000006</v>
      </c>
      <c r="N110" s="11">
        <f t="shared" si="23"/>
        <v>645.66836200000012</v>
      </c>
      <c r="O110" s="11">
        <f t="shared" si="24"/>
        <v>645.66836200000012</v>
      </c>
      <c r="P110" s="11">
        <f t="shared" si="25"/>
        <v>1988.2450000000001</v>
      </c>
      <c r="Q110" s="11">
        <f t="shared" si="26"/>
        <v>1988.2450000000001</v>
      </c>
      <c r="R110" s="11">
        <f t="shared" si="27"/>
        <v>1988.2450000000001</v>
      </c>
      <c r="S110" s="11">
        <f t="shared" si="28"/>
        <v>1988.2450000000001</v>
      </c>
      <c r="T110" s="11">
        <f t="shared" si="29"/>
        <v>1842.7054660000003</v>
      </c>
      <c r="U110" s="11">
        <f t="shared" si="30"/>
        <v>1713.5263480000001</v>
      </c>
      <c r="V110" s="13">
        <f t="shared" si="31"/>
        <v>1988.2450000000001</v>
      </c>
      <c r="X110" s="30"/>
    </row>
    <row r="111" spans="1:24" x14ac:dyDescent="0.25">
      <c r="A111" s="8">
        <v>109</v>
      </c>
      <c r="B111" s="8">
        <v>20.026499999999999</v>
      </c>
      <c r="C111" s="8">
        <v>85.046300000000002</v>
      </c>
      <c r="D111" s="8" t="s">
        <v>7</v>
      </c>
      <c r="E111" s="8" t="s">
        <v>93</v>
      </c>
      <c r="F111" s="8">
        <v>2.5</v>
      </c>
      <c r="G111" s="8">
        <v>1994.34</v>
      </c>
      <c r="H111" s="8" t="s">
        <v>58</v>
      </c>
      <c r="I111" s="3">
        <f t="shared" si="18"/>
        <v>2.25</v>
      </c>
      <c r="J111" s="11">
        <f t="shared" si="19"/>
        <v>3751.3535400000001</v>
      </c>
      <c r="K111" s="11">
        <f t="shared" si="20"/>
        <v>3411.5180039999996</v>
      </c>
      <c r="L111" s="11">
        <f t="shared" si="21"/>
        <v>3016.6386839999996</v>
      </c>
      <c r="M111" s="11">
        <f t="shared" si="22"/>
        <v>2607.9984180000001</v>
      </c>
      <c r="N111" s="11">
        <f t="shared" si="23"/>
        <v>2130.553422</v>
      </c>
      <c r="O111" s="11">
        <f t="shared" si="24"/>
        <v>2130.553422</v>
      </c>
      <c r="P111" s="11">
        <f t="shared" si="25"/>
        <v>4487.2649999999994</v>
      </c>
      <c r="Q111" s="11">
        <f t="shared" si="26"/>
        <v>4487.2649999999994</v>
      </c>
      <c r="R111" s="11">
        <f t="shared" si="27"/>
        <v>4487.2649999999994</v>
      </c>
      <c r="S111" s="11">
        <f t="shared" si="28"/>
        <v>4487.2649999999994</v>
      </c>
      <c r="T111" s="11">
        <f t="shared" si="29"/>
        <v>4231.7900460000001</v>
      </c>
      <c r="U111" s="11">
        <f t="shared" si="30"/>
        <v>4005.0335879999998</v>
      </c>
      <c r="V111" s="13">
        <f t="shared" si="31"/>
        <v>4487.2649999999994</v>
      </c>
      <c r="X111" s="30"/>
    </row>
    <row r="112" spans="1:24" x14ac:dyDescent="0.25">
      <c r="A112" s="8">
        <v>110</v>
      </c>
      <c r="B112" s="8">
        <v>20.028500000000001</v>
      </c>
      <c r="C112" s="8">
        <v>85.047200000000004</v>
      </c>
      <c r="D112" s="8" t="s">
        <v>7</v>
      </c>
      <c r="E112" s="8" t="s">
        <v>93</v>
      </c>
      <c r="F112" s="8">
        <v>3</v>
      </c>
      <c r="G112" s="8">
        <v>1414.12</v>
      </c>
      <c r="H112" s="8" t="s">
        <v>58</v>
      </c>
      <c r="I112" s="3">
        <f t="shared" si="18"/>
        <v>2.75</v>
      </c>
      <c r="J112" s="11">
        <f t="shared" si="19"/>
        <v>3367.0197200000002</v>
      </c>
      <c r="K112" s="11">
        <f t="shared" si="20"/>
        <v>3126.0536719999996</v>
      </c>
      <c r="L112" s="11">
        <f t="shared" si="21"/>
        <v>2846.0579119999998</v>
      </c>
      <c r="M112" s="11">
        <f t="shared" si="22"/>
        <v>2556.3047240000001</v>
      </c>
      <c r="N112" s="11">
        <f t="shared" si="23"/>
        <v>2217.764396</v>
      </c>
      <c r="O112" s="11">
        <f t="shared" si="24"/>
        <v>2217.764396</v>
      </c>
      <c r="P112" s="11">
        <f t="shared" si="25"/>
        <v>3888.83</v>
      </c>
      <c r="Q112" s="11">
        <f t="shared" si="26"/>
        <v>3888.83</v>
      </c>
      <c r="R112" s="11">
        <f t="shared" si="27"/>
        <v>3888.83</v>
      </c>
      <c r="S112" s="11">
        <f t="shared" si="28"/>
        <v>3888.83</v>
      </c>
      <c r="T112" s="11">
        <f t="shared" si="29"/>
        <v>3707.6812279999999</v>
      </c>
      <c r="U112" s="11">
        <f t="shared" si="30"/>
        <v>3546.8957839999998</v>
      </c>
      <c r="V112" s="13">
        <f t="shared" si="31"/>
        <v>3888.83</v>
      </c>
      <c r="X112" s="30"/>
    </row>
    <row r="113" spans="1:24" x14ac:dyDescent="0.25">
      <c r="A113" s="8">
        <v>111</v>
      </c>
      <c r="B113" s="8">
        <v>20.0307</v>
      </c>
      <c r="C113" s="8">
        <v>85.044899999999998</v>
      </c>
      <c r="D113" s="8" t="s">
        <v>7</v>
      </c>
      <c r="E113" s="8" t="s">
        <v>93</v>
      </c>
      <c r="F113" s="8">
        <v>2</v>
      </c>
      <c r="G113" s="8">
        <v>564.21</v>
      </c>
      <c r="H113" s="8" t="s">
        <v>58</v>
      </c>
      <c r="I113" s="3">
        <f t="shared" si="18"/>
        <v>1.75</v>
      </c>
      <c r="J113" s="11">
        <f t="shared" si="19"/>
        <v>779.17401000000007</v>
      </c>
      <c r="K113" s="11">
        <f t="shared" si="20"/>
        <v>683.03262599999994</v>
      </c>
      <c r="L113" s="11">
        <f t="shared" si="21"/>
        <v>571.31904599999996</v>
      </c>
      <c r="M113" s="11">
        <f t="shared" si="22"/>
        <v>455.71241700000002</v>
      </c>
      <c r="N113" s="11">
        <f t="shared" si="23"/>
        <v>320.64054300000004</v>
      </c>
      <c r="O113" s="11">
        <f t="shared" si="24"/>
        <v>320.64054300000004</v>
      </c>
      <c r="P113" s="11">
        <f t="shared" si="25"/>
        <v>987.36750000000006</v>
      </c>
      <c r="Q113" s="11">
        <f t="shared" si="26"/>
        <v>987.36750000000006</v>
      </c>
      <c r="R113" s="11">
        <f t="shared" si="27"/>
        <v>987.36750000000006</v>
      </c>
      <c r="S113" s="11">
        <f t="shared" si="28"/>
        <v>987.36750000000006</v>
      </c>
      <c r="T113" s="11">
        <f t="shared" si="29"/>
        <v>915.09219900000016</v>
      </c>
      <c r="U113" s="11">
        <f t="shared" si="30"/>
        <v>850.94152200000008</v>
      </c>
      <c r="V113" s="13">
        <f t="shared" si="31"/>
        <v>987.36750000000006</v>
      </c>
      <c r="X113" s="30"/>
    </row>
    <row r="114" spans="1:24" x14ac:dyDescent="0.25">
      <c r="A114" s="8">
        <v>112</v>
      </c>
      <c r="B114" s="8">
        <v>20.022400000000001</v>
      </c>
      <c r="C114" s="8">
        <v>85.020099999999999</v>
      </c>
      <c r="D114" s="8" t="s">
        <v>7</v>
      </c>
      <c r="E114" s="8" t="s">
        <v>93</v>
      </c>
      <c r="F114" s="8">
        <v>4</v>
      </c>
      <c r="G114" s="8">
        <v>5738.72</v>
      </c>
      <c r="H114" s="8" t="s">
        <v>58</v>
      </c>
      <c r="I114" s="3">
        <f t="shared" si="18"/>
        <v>3.75</v>
      </c>
      <c r="J114" s="11">
        <f t="shared" si="19"/>
        <v>19402.612320000004</v>
      </c>
      <c r="K114" s="11">
        <f t="shared" si="20"/>
        <v>18424.734432000001</v>
      </c>
      <c r="L114" s="11">
        <f t="shared" si="21"/>
        <v>17288.467872000001</v>
      </c>
      <c r="M114" s="11">
        <f t="shared" si="22"/>
        <v>16112.604144000001</v>
      </c>
      <c r="N114" s="11">
        <f t="shared" si="23"/>
        <v>14738.754575999999</v>
      </c>
      <c r="O114" s="11">
        <f t="shared" si="24"/>
        <v>14738.754575999999</v>
      </c>
      <c r="P114" s="11">
        <f t="shared" si="25"/>
        <v>21520.2</v>
      </c>
      <c r="Q114" s="11">
        <f t="shared" si="26"/>
        <v>21520.2</v>
      </c>
      <c r="R114" s="11">
        <f t="shared" si="27"/>
        <v>21520.2</v>
      </c>
      <c r="S114" s="11">
        <f t="shared" si="28"/>
        <v>21520.2</v>
      </c>
      <c r="T114" s="11">
        <f t="shared" si="29"/>
        <v>20785.069968</v>
      </c>
      <c r="U114" s="11">
        <f t="shared" si="30"/>
        <v>20132.577504000001</v>
      </c>
      <c r="V114" s="13">
        <f t="shared" si="31"/>
        <v>21520.2</v>
      </c>
      <c r="X114" s="30"/>
    </row>
    <row r="115" spans="1:24" x14ac:dyDescent="0.25">
      <c r="A115" s="8">
        <v>113</v>
      </c>
      <c r="B115" s="8">
        <v>20.027799999999999</v>
      </c>
      <c r="C115" s="8">
        <v>85.0227</v>
      </c>
      <c r="D115" s="8" t="s">
        <v>7</v>
      </c>
      <c r="E115" s="8" t="s">
        <v>93</v>
      </c>
      <c r="F115" s="8">
        <v>4</v>
      </c>
      <c r="G115" s="8">
        <v>3601.39</v>
      </c>
      <c r="H115" s="8" t="s">
        <v>58</v>
      </c>
      <c r="I115" s="3">
        <f t="shared" si="18"/>
        <v>3.75</v>
      </c>
      <c r="J115" s="11">
        <f t="shared" si="19"/>
        <v>12176.299590000001</v>
      </c>
      <c r="K115" s="11">
        <f t="shared" si="20"/>
        <v>11562.622733999999</v>
      </c>
      <c r="L115" s="11">
        <f t="shared" si="21"/>
        <v>10849.547514</v>
      </c>
      <c r="M115" s="11">
        <f t="shared" si="22"/>
        <v>10111.622702999999</v>
      </c>
      <c r="N115" s="11">
        <f t="shared" si="23"/>
        <v>9249.4499369999994</v>
      </c>
      <c r="O115" s="11">
        <f t="shared" si="24"/>
        <v>9249.4499369999994</v>
      </c>
      <c r="P115" s="11">
        <f t="shared" si="25"/>
        <v>13505.2125</v>
      </c>
      <c r="Q115" s="11">
        <f t="shared" si="26"/>
        <v>13505.2125</v>
      </c>
      <c r="R115" s="11">
        <f t="shared" si="27"/>
        <v>13505.2125</v>
      </c>
      <c r="S115" s="11">
        <f t="shared" si="28"/>
        <v>13505.2125</v>
      </c>
      <c r="T115" s="11">
        <f t="shared" si="29"/>
        <v>13043.874441</v>
      </c>
      <c r="U115" s="11">
        <f t="shared" si="30"/>
        <v>12634.396397999999</v>
      </c>
      <c r="V115" s="13">
        <f t="shared" si="31"/>
        <v>13505.2125</v>
      </c>
      <c r="X115" s="30"/>
    </row>
    <row r="116" spans="1:24" x14ac:dyDescent="0.25">
      <c r="A116" s="8">
        <v>114</v>
      </c>
      <c r="B116" s="8">
        <v>20.028500000000001</v>
      </c>
      <c r="C116" s="8">
        <v>85.032799999999995</v>
      </c>
      <c r="D116" s="8" t="s">
        <v>7</v>
      </c>
      <c r="E116" s="8" t="s">
        <v>93</v>
      </c>
      <c r="F116" s="8">
        <v>3</v>
      </c>
      <c r="G116" s="8">
        <v>5195.3999999999996</v>
      </c>
      <c r="H116" s="8" t="s">
        <v>58</v>
      </c>
      <c r="I116" s="3">
        <f t="shared" si="18"/>
        <v>2.75</v>
      </c>
      <c r="J116" s="11">
        <f t="shared" si="19"/>
        <v>12370.2474</v>
      </c>
      <c r="K116" s="11">
        <f t="shared" si="20"/>
        <v>11484.951239999999</v>
      </c>
      <c r="L116" s="11">
        <f t="shared" si="21"/>
        <v>10456.26204</v>
      </c>
      <c r="M116" s="11">
        <f t="shared" si="22"/>
        <v>9391.7245800000001</v>
      </c>
      <c r="N116" s="11">
        <f t="shared" si="23"/>
        <v>8147.9458199999999</v>
      </c>
      <c r="O116" s="11">
        <f t="shared" si="24"/>
        <v>8147.9458199999999</v>
      </c>
      <c r="P116" s="11">
        <f t="shared" si="25"/>
        <v>14287.349999999999</v>
      </c>
      <c r="Q116" s="11">
        <f t="shared" si="26"/>
        <v>14287.349999999999</v>
      </c>
      <c r="R116" s="11">
        <f t="shared" si="27"/>
        <v>14287.349999999999</v>
      </c>
      <c r="S116" s="11">
        <f t="shared" si="28"/>
        <v>14287.349999999999</v>
      </c>
      <c r="T116" s="11">
        <f t="shared" si="29"/>
        <v>13621.81926</v>
      </c>
      <c r="U116" s="11">
        <f t="shared" si="30"/>
        <v>13031.102279999999</v>
      </c>
      <c r="V116" s="13">
        <f t="shared" si="31"/>
        <v>14287.349999999999</v>
      </c>
      <c r="X116" s="30"/>
    </row>
    <row r="117" spans="1:24" x14ac:dyDescent="0.25">
      <c r="A117" s="8">
        <v>115</v>
      </c>
      <c r="B117" s="8">
        <v>20.030200000000001</v>
      </c>
      <c r="C117" s="8">
        <v>85.030299999999997</v>
      </c>
      <c r="D117" s="8" t="s">
        <v>7</v>
      </c>
      <c r="E117" s="8" t="s">
        <v>93</v>
      </c>
      <c r="F117" s="8">
        <v>3</v>
      </c>
      <c r="G117" s="8">
        <v>6535.07</v>
      </c>
      <c r="H117" s="8" t="s">
        <v>58</v>
      </c>
      <c r="I117" s="3">
        <f t="shared" si="18"/>
        <v>2.75</v>
      </c>
      <c r="J117" s="11">
        <f t="shared" si="19"/>
        <v>15560.001670000001</v>
      </c>
      <c r="K117" s="11">
        <f t="shared" si="20"/>
        <v>14446.425741999999</v>
      </c>
      <c r="L117" s="11">
        <f t="shared" si="21"/>
        <v>13152.481881999998</v>
      </c>
      <c r="M117" s="11">
        <f t="shared" si="22"/>
        <v>11813.446039</v>
      </c>
      <c r="N117" s="11">
        <f t="shared" si="23"/>
        <v>10248.950280999999</v>
      </c>
      <c r="O117" s="11">
        <f t="shared" si="24"/>
        <v>10248.950280999999</v>
      </c>
      <c r="P117" s="11">
        <f t="shared" si="25"/>
        <v>17971.442499999997</v>
      </c>
      <c r="Q117" s="11">
        <f t="shared" si="26"/>
        <v>17971.442499999997</v>
      </c>
      <c r="R117" s="11">
        <f t="shared" si="27"/>
        <v>17971.442499999997</v>
      </c>
      <c r="S117" s="11">
        <f t="shared" si="28"/>
        <v>17971.442499999997</v>
      </c>
      <c r="T117" s="11">
        <f t="shared" si="29"/>
        <v>17134.300033</v>
      </c>
      <c r="U117" s="11">
        <f t="shared" si="30"/>
        <v>16391.262574</v>
      </c>
      <c r="V117" s="13">
        <f t="shared" si="31"/>
        <v>17971.442499999997</v>
      </c>
      <c r="X117" s="30"/>
    </row>
    <row r="118" spans="1:24" x14ac:dyDescent="0.25">
      <c r="A118" s="8">
        <v>116</v>
      </c>
      <c r="B118" s="8">
        <v>20.034600000000001</v>
      </c>
      <c r="C118" s="8">
        <v>85.026200000000003</v>
      </c>
      <c r="D118" s="8" t="s">
        <v>7</v>
      </c>
      <c r="E118" s="8" t="s">
        <v>93</v>
      </c>
      <c r="F118" s="8">
        <v>2</v>
      </c>
      <c r="G118" s="8">
        <v>751.75</v>
      </c>
      <c r="H118" s="8" t="s">
        <v>62</v>
      </c>
      <c r="I118" s="3">
        <f t="shared" si="18"/>
        <v>1.75</v>
      </c>
      <c r="J118" s="11">
        <f t="shared" si="19"/>
        <v>1038.1667500000001</v>
      </c>
      <c r="K118" s="11">
        <f t="shared" si="20"/>
        <v>910.06854999999996</v>
      </c>
      <c r="L118" s="11">
        <f t="shared" si="21"/>
        <v>761.22204999999997</v>
      </c>
      <c r="M118" s="11">
        <f t="shared" si="22"/>
        <v>607.18847499999993</v>
      </c>
      <c r="N118" s="11">
        <f t="shared" si="23"/>
        <v>427.21952500000003</v>
      </c>
      <c r="O118" s="11">
        <f t="shared" si="24"/>
        <v>427.21952500000003</v>
      </c>
      <c r="P118" s="11">
        <f t="shared" si="25"/>
        <v>1315.5625</v>
      </c>
      <c r="Q118" s="11">
        <f t="shared" si="26"/>
        <v>1315.5625</v>
      </c>
      <c r="R118" s="11">
        <f t="shared" si="27"/>
        <v>1315.5625</v>
      </c>
      <c r="S118" s="11">
        <f t="shared" si="28"/>
        <v>1315.5625</v>
      </c>
      <c r="T118" s="11">
        <f t="shared" si="29"/>
        <v>1219.2633250000001</v>
      </c>
      <c r="U118" s="11">
        <f t="shared" si="30"/>
        <v>1133.78935</v>
      </c>
      <c r="V118" s="13">
        <f t="shared" si="31"/>
        <v>1315.5625</v>
      </c>
      <c r="X118" s="30"/>
    </row>
    <row r="119" spans="1:24" x14ac:dyDescent="0.25">
      <c r="A119" s="8">
        <v>117</v>
      </c>
      <c r="B119" s="8">
        <v>20.034400000000002</v>
      </c>
      <c r="C119" s="8">
        <v>85.027100000000004</v>
      </c>
      <c r="D119" s="8" t="s">
        <v>7</v>
      </c>
      <c r="E119" s="8" t="s">
        <v>93</v>
      </c>
      <c r="F119" s="8">
        <v>2</v>
      </c>
      <c r="G119" s="8">
        <v>672.04</v>
      </c>
      <c r="H119" s="8" t="s">
        <v>62</v>
      </c>
      <c r="I119" s="3">
        <f t="shared" si="18"/>
        <v>1.75</v>
      </c>
      <c r="J119" s="11">
        <f t="shared" si="19"/>
        <v>928.08723999999995</v>
      </c>
      <c r="K119" s="11">
        <f t="shared" si="20"/>
        <v>813.57162399999993</v>
      </c>
      <c r="L119" s="11">
        <f t="shared" si="21"/>
        <v>680.50770399999988</v>
      </c>
      <c r="M119" s="11">
        <f t="shared" si="22"/>
        <v>542.80670799999996</v>
      </c>
      <c r="N119" s="11">
        <f t="shared" si="23"/>
        <v>381.92033199999997</v>
      </c>
      <c r="O119" s="11">
        <f t="shared" si="24"/>
        <v>381.92033199999997</v>
      </c>
      <c r="P119" s="11">
        <f t="shared" si="25"/>
        <v>1176.07</v>
      </c>
      <c r="Q119" s="11">
        <f t="shared" si="26"/>
        <v>1176.07</v>
      </c>
      <c r="R119" s="11">
        <f t="shared" si="27"/>
        <v>1176.07</v>
      </c>
      <c r="S119" s="11">
        <f t="shared" si="28"/>
        <v>1176.07</v>
      </c>
      <c r="T119" s="11">
        <f t="shared" si="29"/>
        <v>1089.9816760000001</v>
      </c>
      <c r="U119" s="11">
        <f t="shared" si="30"/>
        <v>1013.5707279999999</v>
      </c>
      <c r="V119" s="13">
        <f t="shared" si="31"/>
        <v>1176.07</v>
      </c>
      <c r="X119" s="30"/>
    </row>
    <row r="120" spans="1:24" x14ac:dyDescent="0.25">
      <c r="A120" s="8">
        <v>118</v>
      </c>
      <c r="B120" s="8">
        <v>20.034099999999999</v>
      </c>
      <c r="C120" s="8">
        <v>85.027100000000004</v>
      </c>
      <c r="D120" s="8" t="s">
        <v>7</v>
      </c>
      <c r="E120" s="8" t="s">
        <v>93</v>
      </c>
      <c r="F120" s="8">
        <v>2</v>
      </c>
      <c r="G120" s="8">
        <v>723.42</v>
      </c>
      <c r="H120" s="8" t="s">
        <v>62</v>
      </c>
      <c r="I120" s="3">
        <f t="shared" si="18"/>
        <v>1.75</v>
      </c>
      <c r="J120" s="11">
        <f t="shared" si="19"/>
        <v>999.04301999999996</v>
      </c>
      <c r="K120" s="11">
        <f t="shared" si="20"/>
        <v>875.77225199999987</v>
      </c>
      <c r="L120" s="11">
        <f t="shared" si="21"/>
        <v>732.53509199999996</v>
      </c>
      <c r="M120" s="11">
        <f t="shared" si="22"/>
        <v>584.30633399999999</v>
      </c>
      <c r="N120" s="11">
        <f t="shared" si="23"/>
        <v>411.11958599999997</v>
      </c>
      <c r="O120" s="11">
        <f t="shared" si="24"/>
        <v>411.11958599999997</v>
      </c>
      <c r="P120" s="11">
        <f t="shared" si="25"/>
        <v>1265.9849999999999</v>
      </c>
      <c r="Q120" s="11">
        <f t="shared" si="26"/>
        <v>1265.9849999999999</v>
      </c>
      <c r="R120" s="11">
        <f t="shared" si="27"/>
        <v>1265.9849999999999</v>
      </c>
      <c r="S120" s="11">
        <f t="shared" si="28"/>
        <v>1265.9849999999999</v>
      </c>
      <c r="T120" s="11">
        <f t="shared" si="29"/>
        <v>1173.3148980000001</v>
      </c>
      <c r="U120" s="11">
        <f t="shared" si="30"/>
        <v>1091.062044</v>
      </c>
      <c r="V120" s="13">
        <f t="shared" si="31"/>
        <v>1265.9849999999999</v>
      </c>
      <c r="X120" s="30"/>
    </row>
    <row r="121" spans="1:24" x14ac:dyDescent="0.25">
      <c r="A121" s="8">
        <v>119</v>
      </c>
      <c r="B121" s="8">
        <v>20.033999999999999</v>
      </c>
      <c r="C121" s="8">
        <v>85.027699999999996</v>
      </c>
      <c r="D121" s="8" t="s">
        <v>7</v>
      </c>
      <c r="E121" s="8" t="s">
        <v>93</v>
      </c>
      <c r="F121" s="8">
        <v>2</v>
      </c>
      <c r="G121" s="8">
        <v>782.1</v>
      </c>
      <c r="H121" s="8" t="s">
        <v>62</v>
      </c>
      <c r="I121" s="3">
        <f t="shared" si="18"/>
        <v>1.75</v>
      </c>
      <c r="J121" s="11">
        <f t="shared" si="19"/>
        <v>1080.0801000000001</v>
      </c>
      <c r="K121" s="11">
        <f t="shared" si="20"/>
        <v>946.81025999999997</v>
      </c>
      <c r="L121" s="11">
        <f t="shared" si="21"/>
        <v>791.95445999999993</v>
      </c>
      <c r="M121" s="11">
        <f t="shared" si="22"/>
        <v>631.70217000000002</v>
      </c>
      <c r="N121" s="11">
        <f t="shared" si="23"/>
        <v>444.46743000000004</v>
      </c>
      <c r="O121" s="11">
        <f t="shared" si="24"/>
        <v>444.46743000000004</v>
      </c>
      <c r="P121" s="11">
        <f t="shared" si="25"/>
        <v>1368.675</v>
      </c>
      <c r="Q121" s="11">
        <f t="shared" si="26"/>
        <v>1368.675</v>
      </c>
      <c r="R121" s="11">
        <f t="shared" si="27"/>
        <v>1368.675</v>
      </c>
      <c r="S121" s="11">
        <f t="shared" si="28"/>
        <v>1368.675</v>
      </c>
      <c r="T121" s="11">
        <f t="shared" si="29"/>
        <v>1268.4879900000001</v>
      </c>
      <c r="U121" s="11">
        <f t="shared" si="30"/>
        <v>1179.56322</v>
      </c>
      <c r="V121" s="13">
        <f t="shared" si="31"/>
        <v>1368.675</v>
      </c>
      <c r="X121" s="30"/>
    </row>
    <row r="122" spans="1:24" x14ac:dyDescent="0.25">
      <c r="A122" s="8">
        <v>120</v>
      </c>
      <c r="B122" s="8">
        <v>20.033200000000001</v>
      </c>
      <c r="C122" s="8">
        <v>85.026499999999999</v>
      </c>
      <c r="D122" s="8" t="s">
        <v>7</v>
      </c>
      <c r="E122" s="8" t="s">
        <v>93</v>
      </c>
      <c r="F122" s="8">
        <v>2</v>
      </c>
      <c r="G122" s="8">
        <v>233.98</v>
      </c>
      <c r="H122" s="8" t="s">
        <v>62</v>
      </c>
      <c r="I122" s="3">
        <f t="shared" si="18"/>
        <v>1.75</v>
      </c>
      <c r="J122" s="11">
        <f t="shared" si="19"/>
        <v>323.12637999999998</v>
      </c>
      <c r="K122" s="11">
        <f t="shared" si="20"/>
        <v>283.25618799999995</v>
      </c>
      <c r="L122" s="11">
        <f t="shared" si="21"/>
        <v>236.92814799999996</v>
      </c>
      <c r="M122" s="11">
        <f t="shared" si="22"/>
        <v>188.98564599999997</v>
      </c>
      <c r="N122" s="11">
        <f t="shared" si="23"/>
        <v>132.970834</v>
      </c>
      <c r="O122" s="11">
        <f t="shared" si="24"/>
        <v>132.970834</v>
      </c>
      <c r="P122" s="11">
        <f t="shared" si="25"/>
        <v>409.46499999999997</v>
      </c>
      <c r="Q122" s="11">
        <f t="shared" si="26"/>
        <v>409.46499999999997</v>
      </c>
      <c r="R122" s="11">
        <f t="shared" si="27"/>
        <v>409.46499999999997</v>
      </c>
      <c r="S122" s="11">
        <f t="shared" si="28"/>
        <v>409.46499999999997</v>
      </c>
      <c r="T122" s="11">
        <f t="shared" si="29"/>
        <v>379.49216200000001</v>
      </c>
      <c r="U122" s="11">
        <f t="shared" si="30"/>
        <v>352.88863599999996</v>
      </c>
      <c r="V122" s="13">
        <f t="shared" si="31"/>
        <v>409.46499999999997</v>
      </c>
      <c r="X122" s="30"/>
    </row>
    <row r="123" spans="1:24" x14ac:dyDescent="0.25">
      <c r="A123" s="8">
        <v>121</v>
      </c>
      <c r="B123" s="8">
        <v>20.035799999999998</v>
      </c>
      <c r="C123" s="8">
        <v>85.028400000000005</v>
      </c>
      <c r="D123" s="8" t="s">
        <v>7</v>
      </c>
      <c r="E123" s="8" t="s">
        <v>93</v>
      </c>
      <c r="F123" s="8">
        <v>3</v>
      </c>
      <c r="G123" s="8">
        <v>6548.83</v>
      </c>
      <c r="H123" s="8" t="s">
        <v>62</v>
      </c>
      <c r="I123" s="3">
        <f t="shared" si="18"/>
        <v>2.75</v>
      </c>
      <c r="J123" s="11">
        <f t="shared" si="19"/>
        <v>15592.764230000001</v>
      </c>
      <c r="K123" s="11">
        <f t="shared" si="20"/>
        <v>14476.843597999999</v>
      </c>
      <c r="L123" s="11">
        <f t="shared" si="21"/>
        <v>13180.175257999999</v>
      </c>
      <c r="M123" s="11">
        <f t="shared" si="22"/>
        <v>11838.319991</v>
      </c>
      <c r="N123" s="11">
        <f t="shared" si="23"/>
        <v>10270.530089</v>
      </c>
      <c r="O123" s="11">
        <f t="shared" si="24"/>
        <v>10270.530089</v>
      </c>
      <c r="P123" s="11">
        <f t="shared" si="25"/>
        <v>18009.282500000001</v>
      </c>
      <c r="Q123" s="11">
        <f t="shared" si="26"/>
        <v>18009.282500000001</v>
      </c>
      <c r="R123" s="11">
        <f t="shared" si="27"/>
        <v>18009.282500000001</v>
      </c>
      <c r="S123" s="11">
        <f t="shared" si="28"/>
        <v>18009.282500000001</v>
      </c>
      <c r="T123" s="11">
        <f t="shared" si="29"/>
        <v>17170.377377000001</v>
      </c>
      <c r="U123" s="11">
        <f t="shared" si="30"/>
        <v>16425.775406000001</v>
      </c>
      <c r="V123" s="13">
        <f t="shared" si="31"/>
        <v>18009.282500000001</v>
      </c>
      <c r="X123" s="30"/>
    </row>
    <row r="124" spans="1:24" x14ac:dyDescent="0.25">
      <c r="A124" s="8">
        <v>122</v>
      </c>
      <c r="B124" s="8">
        <v>20.037099999999999</v>
      </c>
      <c r="C124" s="8">
        <v>85.028899999999993</v>
      </c>
      <c r="D124" s="8" t="s">
        <v>7</v>
      </c>
      <c r="E124" s="8" t="s">
        <v>93</v>
      </c>
      <c r="F124" s="8">
        <v>4</v>
      </c>
      <c r="G124" s="8">
        <v>11664.96</v>
      </c>
      <c r="H124" s="8" t="s">
        <v>62</v>
      </c>
      <c r="I124" s="3">
        <f t="shared" si="18"/>
        <v>3.75</v>
      </c>
      <c r="J124" s="11">
        <f t="shared" si="19"/>
        <v>39439.229760000002</v>
      </c>
      <c r="K124" s="11">
        <f t="shared" si="20"/>
        <v>37451.520575999995</v>
      </c>
      <c r="L124" s="11">
        <f t="shared" si="21"/>
        <v>35141.858495999993</v>
      </c>
      <c r="M124" s="11">
        <f t="shared" si="22"/>
        <v>32751.708191999998</v>
      </c>
      <c r="N124" s="11">
        <f t="shared" si="23"/>
        <v>29959.116767999996</v>
      </c>
      <c r="O124" s="11">
        <f t="shared" si="24"/>
        <v>29959.116767999996</v>
      </c>
      <c r="P124" s="11">
        <f t="shared" si="25"/>
        <v>43743.6</v>
      </c>
      <c r="Q124" s="11">
        <f t="shared" si="26"/>
        <v>43743.6</v>
      </c>
      <c r="R124" s="11">
        <f t="shared" si="27"/>
        <v>43743.6</v>
      </c>
      <c r="S124" s="11">
        <f t="shared" si="28"/>
        <v>43743.6</v>
      </c>
      <c r="T124" s="11">
        <f t="shared" si="29"/>
        <v>42249.318624</v>
      </c>
      <c r="U124" s="11">
        <f t="shared" si="30"/>
        <v>40923.012671999997</v>
      </c>
      <c r="V124" s="13">
        <f t="shared" si="31"/>
        <v>43743.6</v>
      </c>
      <c r="X124" s="30"/>
    </row>
    <row r="125" spans="1:24" x14ac:dyDescent="0.25">
      <c r="A125" s="8">
        <v>123</v>
      </c>
      <c r="B125" s="8">
        <v>20.039000000000001</v>
      </c>
      <c r="C125" s="8">
        <v>85.031700000000001</v>
      </c>
      <c r="D125" s="8" t="s">
        <v>7</v>
      </c>
      <c r="E125" s="8" t="s">
        <v>93</v>
      </c>
      <c r="F125" s="8">
        <v>3</v>
      </c>
      <c r="G125" s="8">
        <v>1530.71</v>
      </c>
      <c r="H125" s="8" t="s">
        <v>62</v>
      </c>
      <c r="I125" s="3">
        <f t="shared" si="18"/>
        <v>2.75</v>
      </c>
      <c r="J125" s="11">
        <f t="shared" si="19"/>
        <v>3644.6205100000006</v>
      </c>
      <c r="K125" s="11">
        <f t="shared" si="20"/>
        <v>3383.7875260000001</v>
      </c>
      <c r="L125" s="11">
        <f t="shared" si="21"/>
        <v>3080.7069459999998</v>
      </c>
      <c r="M125" s="11">
        <f t="shared" si="22"/>
        <v>2767.0644670000001</v>
      </c>
      <c r="N125" s="11">
        <f t="shared" si="23"/>
        <v>2400.6124930000001</v>
      </c>
      <c r="O125" s="11">
        <f t="shared" si="24"/>
        <v>2400.6124930000001</v>
      </c>
      <c r="P125" s="11">
        <f t="shared" si="25"/>
        <v>4209.4525000000003</v>
      </c>
      <c r="Q125" s="11">
        <f t="shared" si="26"/>
        <v>4209.4525000000003</v>
      </c>
      <c r="R125" s="11">
        <f t="shared" si="27"/>
        <v>4209.4525000000003</v>
      </c>
      <c r="S125" s="11">
        <f t="shared" si="28"/>
        <v>4209.4525000000003</v>
      </c>
      <c r="T125" s="11">
        <f t="shared" si="29"/>
        <v>4013.3685490000003</v>
      </c>
      <c r="U125" s="11">
        <f t="shared" si="30"/>
        <v>3839.326822</v>
      </c>
      <c r="V125" s="13">
        <f t="shared" si="31"/>
        <v>4209.4525000000003</v>
      </c>
      <c r="X125" s="30"/>
    </row>
    <row r="126" spans="1:24" x14ac:dyDescent="0.25">
      <c r="A126" s="8">
        <v>124</v>
      </c>
      <c r="B126" s="8">
        <v>20.039400000000001</v>
      </c>
      <c r="C126" s="8">
        <v>85.033100000000005</v>
      </c>
      <c r="D126" s="8" t="s">
        <v>7</v>
      </c>
      <c r="E126" s="8" t="s">
        <v>93</v>
      </c>
      <c r="F126" s="8">
        <v>2</v>
      </c>
      <c r="G126" s="8">
        <v>687.95</v>
      </c>
      <c r="H126" s="8" t="s">
        <v>62</v>
      </c>
      <c r="I126" s="3">
        <f t="shared" si="18"/>
        <v>1.75</v>
      </c>
      <c r="J126" s="11">
        <f t="shared" si="19"/>
        <v>950.0589500000001</v>
      </c>
      <c r="K126" s="11">
        <f t="shared" si="20"/>
        <v>832.83226999999999</v>
      </c>
      <c r="L126" s="11">
        <f t="shared" si="21"/>
        <v>696.61816999999996</v>
      </c>
      <c r="M126" s="11">
        <f t="shared" si="22"/>
        <v>555.65721500000006</v>
      </c>
      <c r="N126" s="11">
        <f t="shared" si="23"/>
        <v>390.96198500000003</v>
      </c>
      <c r="O126" s="11">
        <f t="shared" si="24"/>
        <v>390.96198500000003</v>
      </c>
      <c r="P126" s="11">
        <f t="shared" si="25"/>
        <v>1203.9125000000001</v>
      </c>
      <c r="Q126" s="11">
        <f t="shared" si="26"/>
        <v>1203.9125000000001</v>
      </c>
      <c r="R126" s="11">
        <f t="shared" si="27"/>
        <v>1203.9125000000001</v>
      </c>
      <c r="S126" s="11">
        <f t="shared" si="28"/>
        <v>1203.9125000000001</v>
      </c>
      <c r="T126" s="11">
        <f t="shared" si="29"/>
        <v>1115.7861050000001</v>
      </c>
      <c r="U126" s="11">
        <f t="shared" si="30"/>
        <v>1037.56619</v>
      </c>
      <c r="V126" s="13">
        <f t="shared" si="31"/>
        <v>1203.9125000000001</v>
      </c>
      <c r="X126" s="30"/>
    </row>
    <row r="127" spans="1:24" x14ac:dyDescent="0.25">
      <c r="A127" s="8">
        <v>125</v>
      </c>
      <c r="B127" s="8">
        <v>20.039400000000001</v>
      </c>
      <c r="C127" s="8">
        <v>85.033900000000003</v>
      </c>
      <c r="D127" s="8" t="s">
        <v>7</v>
      </c>
      <c r="E127" s="8" t="s">
        <v>93</v>
      </c>
      <c r="F127" s="8">
        <v>3</v>
      </c>
      <c r="G127" s="8">
        <v>1097.48</v>
      </c>
      <c r="H127" s="8" t="s">
        <v>62</v>
      </c>
      <c r="I127" s="3">
        <f t="shared" si="18"/>
        <v>2.75</v>
      </c>
      <c r="J127" s="11">
        <f t="shared" si="19"/>
        <v>2613.0998800000002</v>
      </c>
      <c r="K127" s="11">
        <f t="shared" si="20"/>
        <v>2426.0892880000001</v>
      </c>
      <c r="L127" s="11">
        <f t="shared" si="21"/>
        <v>2208.7882479999998</v>
      </c>
      <c r="M127" s="11">
        <f t="shared" si="22"/>
        <v>1983.9145960000001</v>
      </c>
      <c r="N127" s="11">
        <f t="shared" si="23"/>
        <v>1721.1778839999999</v>
      </c>
      <c r="O127" s="11">
        <f t="shared" si="24"/>
        <v>1721.1778839999999</v>
      </c>
      <c r="P127" s="11">
        <f t="shared" si="25"/>
        <v>3018.07</v>
      </c>
      <c r="Q127" s="11">
        <f t="shared" si="26"/>
        <v>3018.07</v>
      </c>
      <c r="R127" s="11">
        <f t="shared" si="27"/>
        <v>3018.07</v>
      </c>
      <c r="S127" s="11">
        <f t="shared" si="28"/>
        <v>3018.07</v>
      </c>
      <c r="T127" s="11">
        <f t="shared" si="29"/>
        <v>2877.4828120000002</v>
      </c>
      <c r="U127" s="11">
        <f t="shared" si="30"/>
        <v>2752.6993360000001</v>
      </c>
      <c r="V127" s="13">
        <f t="shared" si="31"/>
        <v>3018.07</v>
      </c>
      <c r="X127" s="30"/>
    </row>
    <row r="128" spans="1:24" x14ac:dyDescent="0.25">
      <c r="A128" s="8">
        <v>126</v>
      </c>
      <c r="B128" s="8">
        <v>20.0413</v>
      </c>
      <c r="C128" s="8">
        <v>85.033600000000007</v>
      </c>
      <c r="D128" s="8" t="s">
        <v>7</v>
      </c>
      <c r="E128" s="8" t="s">
        <v>93</v>
      </c>
      <c r="F128" s="8">
        <v>3.5</v>
      </c>
      <c r="G128" s="8">
        <v>7023.03</v>
      </c>
      <c r="H128" s="8" t="s">
        <v>62</v>
      </c>
      <c r="I128" s="3">
        <f t="shared" si="18"/>
        <v>3.25</v>
      </c>
      <c r="J128" s="11">
        <f t="shared" si="19"/>
        <v>20233.349430000002</v>
      </c>
      <c r="K128" s="11">
        <f t="shared" si="20"/>
        <v>19036.625118</v>
      </c>
      <c r="L128" s="11">
        <f t="shared" si="21"/>
        <v>17646.065178000001</v>
      </c>
      <c r="M128" s="11">
        <f t="shared" si="22"/>
        <v>16207.046331</v>
      </c>
      <c r="N128" s="11">
        <f t="shared" si="23"/>
        <v>14525.732948999997</v>
      </c>
      <c r="O128" s="11">
        <f t="shared" si="24"/>
        <v>14525.732948999997</v>
      </c>
      <c r="P128" s="11">
        <f t="shared" si="25"/>
        <v>22824.8475</v>
      </c>
      <c r="Q128" s="11">
        <f t="shared" si="26"/>
        <v>22824.8475</v>
      </c>
      <c r="R128" s="11">
        <f t="shared" si="27"/>
        <v>22824.8475</v>
      </c>
      <c r="S128" s="11">
        <f t="shared" si="28"/>
        <v>22824.8475</v>
      </c>
      <c r="T128" s="11">
        <f t="shared" si="29"/>
        <v>21925.197357000001</v>
      </c>
      <c r="U128" s="11">
        <f t="shared" si="30"/>
        <v>21126.678845999999</v>
      </c>
      <c r="V128" s="13">
        <f t="shared" si="31"/>
        <v>22824.8475</v>
      </c>
      <c r="X128" s="30"/>
    </row>
    <row r="129" spans="1:24" x14ac:dyDescent="0.25">
      <c r="A129" s="8">
        <v>127</v>
      </c>
      <c r="B129" s="8">
        <v>20.039100000000001</v>
      </c>
      <c r="C129" s="8">
        <v>85.037800000000004</v>
      </c>
      <c r="D129" s="8" t="s">
        <v>7</v>
      </c>
      <c r="E129" s="8" t="s">
        <v>93</v>
      </c>
      <c r="F129" s="8">
        <v>4</v>
      </c>
      <c r="G129" s="8">
        <v>3643.06</v>
      </c>
      <c r="H129" s="8" t="s">
        <v>62</v>
      </c>
      <c r="I129" s="3">
        <f t="shared" si="18"/>
        <v>3.75</v>
      </c>
      <c r="J129" s="11">
        <f t="shared" si="19"/>
        <v>12317.185860000001</v>
      </c>
      <c r="K129" s="11">
        <f t="shared" si="20"/>
        <v>11696.408436</v>
      </c>
      <c r="L129" s="11">
        <f t="shared" si="21"/>
        <v>10975.082555999999</v>
      </c>
      <c r="M129" s="11">
        <f t="shared" si="22"/>
        <v>10228.619562</v>
      </c>
      <c r="N129" s="11">
        <f t="shared" si="23"/>
        <v>9356.4709979999989</v>
      </c>
      <c r="O129" s="11">
        <f t="shared" si="24"/>
        <v>9356.4709979999989</v>
      </c>
      <c r="P129" s="11">
        <f t="shared" si="25"/>
        <v>13661.475</v>
      </c>
      <c r="Q129" s="11">
        <f t="shared" si="26"/>
        <v>13661.475</v>
      </c>
      <c r="R129" s="11">
        <f t="shared" si="27"/>
        <v>13661.475</v>
      </c>
      <c r="S129" s="11">
        <f t="shared" si="28"/>
        <v>13661.475</v>
      </c>
      <c r="T129" s="11">
        <f t="shared" si="29"/>
        <v>13194.799014</v>
      </c>
      <c r="U129" s="11">
        <f t="shared" si="30"/>
        <v>12780.583091999999</v>
      </c>
      <c r="V129" s="13">
        <f t="shared" si="31"/>
        <v>13661.475</v>
      </c>
      <c r="X129" s="30"/>
    </row>
    <row r="130" spans="1:24" x14ac:dyDescent="0.25">
      <c r="A130" s="8">
        <v>128</v>
      </c>
      <c r="B130" s="8">
        <v>20.037500000000001</v>
      </c>
      <c r="C130" s="8">
        <v>85.022599999999997</v>
      </c>
      <c r="D130" s="8" t="s">
        <v>7</v>
      </c>
      <c r="E130" s="8" t="s">
        <v>93</v>
      </c>
      <c r="F130" s="8">
        <v>2.5</v>
      </c>
      <c r="G130" s="8">
        <v>6360.99</v>
      </c>
      <c r="H130" s="8" t="s">
        <v>62</v>
      </c>
      <c r="I130" s="3">
        <f t="shared" si="18"/>
        <v>2.25</v>
      </c>
      <c r="J130" s="11">
        <f t="shared" si="19"/>
        <v>11965.02219</v>
      </c>
      <c r="K130" s="11">
        <f t="shared" si="20"/>
        <v>10881.109493999998</v>
      </c>
      <c r="L130" s="11">
        <f t="shared" si="21"/>
        <v>9621.6334740000002</v>
      </c>
      <c r="M130" s="11">
        <f t="shared" si="22"/>
        <v>8318.2666229999995</v>
      </c>
      <c r="N130" s="11">
        <f t="shared" si="23"/>
        <v>6795.4456170000003</v>
      </c>
      <c r="O130" s="11">
        <f t="shared" si="24"/>
        <v>6795.4456170000003</v>
      </c>
      <c r="P130" s="11">
        <f t="shared" si="25"/>
        <v>14312.227499999999</v>
      </c>
      <c r="Q130" s="11">
        <f t="shared" si="26"/>
        <v>14312.227499999999</v>
      </c>
      <c r="R130" s="11">
        <f t="shared" si="27"/>
        <v>14312.227499999999</v>
      </c>
      <c r="S130" s="11">
        <f t="shared" si="28"/>
        <v>14312.227499999999</v>
      </c>
      <c r="T130" s="11">
        <f t="shared" si="29"/>
        <v>13497.384681</v>
      </c>
      <c r="U130" s="11">
        <f t="shared" si="30"/>
        <v>12774.140117999999</v>
      </c>
      <c r="V130" s="13">
        <f t="shared" si="31"/>
        <v>14312.227499999999</v>
      </c>
      <c r="X130" s="30"/>
    </row>
    <row r="131" spans="1:24" x14ac:dyDescent="0.25">
      <c r="A131" s="8">
        <v>129</v>
      </c>
      <c r="B131" s="8">
        <v>20.039000000000001</v>
      </c>
      <c r="C131" s="8">
        <v>85.020200000000003</v>
      </c>
      <c r="D131" s="8" t="s">
        <v>7</v>
      </c>
      <c r="E131" s="8" t="s">
        <v>93</v>
      </c>
      <c r="F131" s="8">
        <v>2.5</v>
      </c>
      <c r="G131" s="8">
        <v>3765.54</v>
      </c>
      <c r="H131" s="8" t="s">
        <v>62</v>
      </c>
      <c r="I131" s="3">
        <f t="shared" ref="I131:I194" si="32">F131-$AC$20</f>
        <v>2.25</v>
      </c>
      <c r="J131" s="11">
        <f t="shared" ref="J131:J194" si="33">IF($I131-Z$24&lt;0, 0, ($I131-Z$24)*$G131)</f>
        <v>7082.98074</v>
      </c>
      <c r="K131" s="11">
        <f t="shared" ref="K131:K194" si="34">IF($I131-AA$24&lt;0, 0, ($I131-AA$24)*$G131)</f>
        <v>6441.3327239999999</v>
      </c>
      <c r="L131" s="11">
        <f t="shared" ref="L131:L194" si="35">IF($I131-AB$24&lt;0, 0, ($I131-AB$24)*$G131)</f>
        <v>5695.7558039999994</v>
      </c>
      <c r="M131" s="11">
        <f t="shared" ref="M131:M194" si="36">IF($I131-AC$24&lt;0, 0, ($I131-AC$24)*$G131)</f>
        <v>4924.1966579999998</v>
      </c>
      <c r="N131" s="11">
        <f t="shared" ref="N131:N194" si="37">IF($I131-AD$24&lt;0, 0, ($I131-AD$24)*$G131)</f>
        <v>4022.7263820000003</v>
      </c>
      <c r="O131" s="11">
        <f t="shared" ref="O131:O194" si="38">IF($I131-AE$24&lt;0, 0, ($I131-AE$24)*$G131)</f>
        <v>4022.7263820000003</v>
      </c>
      <c r="P131" s="11">
        <f t="shared" ref="P131:P194" si="39">IF($I131-AF$24&lt;0, 0, ($I131-AF$24)*$G131)</f>
        <v>8472.4650000000001</v>
      </c>
      <c r="Q131" s="11">
        <f t="shared" ref="Q131:Q194" si="40">IF($I131-AG$24&lt;0, 0, ($I131-AG$24)*$G131)</f>
        <v>8472.4650000000001</v>
      </c>
      <c r="R131" s="11">
        <f t="shared" ref="R131:R194" si="41">IF($I131-AH$24&lt;0, 0, ($I131-AH$24)*$G131)</f>
        <v>8472.4650000000001</v>
      </c>
      <c r="S131" s="11">
        <f t="shared" ref="S131:S194" si="42">IF($I131-AI$24&lt;0, 0, ($I131-AI$24)*$G131)</f>
        <v>8472.4650000000001</v>
      </c>
      <c r="T131" s="11">
        <f t="shared" ref="T131:T194" si="43">IF($I131-AJ$24&lt;0, 0, ($I131-AJ$24)*$G131)</f>
        <v>7990.0993260000005</v>
      </c>
      <c r="U131" s="11">
        <f t="shared" ref="U131:U194" si="44">IF($I131-AK$24&lt;0, 0, ($I131-AK$24)*$G131)</f>
        <v>7561.9574279999997</v>
      </c>
      <c r="V131" s="13">
        <f t="shared" si="31"/>
        <v>8472.4650000000001</v>
      </c>
      <c r="X131" s="30"/>
    </row>
    <row r="132" spans="1:24" x14ac:dyDescent="0.25">
      <c r="A132" s="8">
        <v>130</v>
      </c>
      <c r="B132" s="8">
        <v>20.043299999999999</v>
      </c>
      <c r="C132" s="8">
        <v>85.0214</v>
      </c>
      <c r="D132" s="8" t="s">
        <v>7</v>
      </c>
      <c r="E132" s="8" t="s">
        <v>93</v>
      </c>
      <c r="F132" s="8">
        <v>2</v>
      </c>
      <c r="G132" s="8">
        <v>5853.1</v>
      </c>
      <c r="H132" s="8" t="s">
        <v>62</v>
      </c>
      <c r="I132" s="3">
        <f t="shared" si="32"/>
        <v>1.75</v>
      </c>
      <c r="J132" s="11">
        <f t="shared" si="33"/>
        <v>8083.1311000000005</v>
      </c>
      <c r="K132" s="11">
        <f t="shared" si="34"/>
        <v>7085.7628599999998</v>
      </c>
      <c r="L132" s="11">
        <f t="shared" si="35"/>
        <v>5926.8490600000005</v>
      </c>
      <c r="M132" s="11">
        <f t="shared" si="36"/>
        <v>4727.5488700000005</v>
      </c>
      <c r="N132" s="11">
        <f t="shared" si="37"/>
        <v>3326.3167300000005</v>
      </c>
      <c r="O132" s="11">
        <f t="shared" si="38"/>
        <v>3326.3167300000005</v>
      </c>
      <c r="P132" s="11">
        <f t="shared" si="39"/>
        <v>10242.925000000001</v>
      </c>
      <c r="Q132" s="11">
        <f t="shared" si="40"/>
        <v>10242.925000000001</v>
      </c>
      <c r="R132" s="11">
        <f t="shared" si="41"/>
        <v>10242.925000000001</v>
      </c>
      <c r="S132" s="11">
        <f t="shared" si="42"/>
        <v>10242.925000000001</v>
      </c>
      <c r="T132" s="11">
        <f t="shared" si="43"/>
        <v>9493.142890000001</v>
      </c>
      <c r="U132" s="11">
        <f t="shared" si="44"/>
        <v>8827.6454200000007</v>
      </c>
      <c r="V132" s="13">
        <f t="shared" ref="V132:V195" si="45">MAX(J132:U132)</f>
        <v>10242.925000000001</v>
      </c>
      <c r="X132" s="30"/>
    </row>
    <row r="133" spans="1:24" x14ac:dyDescent="0.25">
      <c r="A133" s="8">
        <v>131</v>
      </c>
      <c r="B133" s="8">
        <v>20.0456</v>
      </c>
      <c r="C133" s="8">
        <v>85.0227</v>
      </c>
      <c r="D133" s="8" t="s">
        <v>7</v>
      </c>
      <c r="E133" s="8" t="s">
        <v>93</v>
      </c>
      <c r="F133" s="8">
        <v>3</v>
      </c>
      <c r="G133" s="8">
        <v>4815.83</v>
      </c>
      <c r="H133" s="8" t="s">
        <v>62</v>
      </c>
      <c r="I133" s="3">
        <f t="shared" si="32"/>
        <v>2.75</v>
      </c>
      <c r="J133" s="11">
        <f t="shared" si="33"/>
        <v>11466.491230000001</v>
      </c>
      <c r="K133" s="11">
        <f t="shared" si="34"/>
        <v>10645.873797999999</v>
      </c>
      <c r="L133" s="11">
        <f t="shared" si="35"/>
        <v>9692.3394580000004</v>
      </c>
      <c r="M133" s="11">
        <f t="shared" si="36"/>
        <v>8705.5758910000004</v>
      </c>
      <c r="N133" s="11">
        <f t="shared" si="37"/>
        <v>7552.6661889999996</v>
      </c>
      <c r="O133" s="11">
        <f t="shared" si="38"/>
        <v>7552.6661889999996</v>
      </c>
      <c r="P133" s="11">
        <f t="shared" si="39"/>
        <v>13243.532499999999</v>
      </c>
      <c r="Q133" s="11">
        <f t="shared" si="40"/>
        <v>13243.532499999999</v>
      </c>
      <c r="R133" s="11">
        <f t="shared" si="41"/>
        <v>13243.532499999999</v>
      </c>
      <c r="S133" s="11">
        <f t="shared" si="42"/>
        <v>13243.532499999999</v>
      </c>
      <c r="T133" s="11">
        <f t="shared" si="43"/>
        <v>12626.624677</v>
      </c>
      <c r="U133" s="11">
        <f t="shared" si="44"/>
        <v>12079.064806</v>
      </c>
      <c r="V133" s="13">
        <f t="shared" si="45"/>
        <v>13243.532499999999</v>
      </c>
      <c r="X133" s="30"/>
    </row>
    <row r="134" spans="1:24" x14ac:dyDescent="0.25">
      <c r="A134" s="8">
        <v>132</v>
      </c>
      <c r="B134" s="8">
        <v>20.048100000000002</v>
      </c>
      <c r="C134" s="8">
        <v>85.022499999999994</v>
      </c>
      <c r="D134" s="8" t="s">
        <v>7</v>
      </c>
      <c r="E134" s="8" t="s">
        <v>93</v>
      </c>
      <c r="F134" s="8">
        <v>4</v>
      </c>
      <c r="G134" s="8">
        <v>5942.48</v>
      </c>
      <c r="H134" s="8" t="s">
        <v>62</v>
      </c>
      <c r="I134" s="3">
        <f t="shared" si="32"/>
        <v>3.75</v>
      </c>
      <c r="J134" s="11">
        <f t="shared" si="33"/>
        <v>20091.524880000001</v>
      </c>
      <c r="K134" s="11">
        <f t="shared" si="34"/>
        <v>19078.926287999999</v>
      </c>
      <c r="L134" s="11">
        <f t="shared" si="35"/>
        <v>17902.315247999999</v>
      </c>
      <c r="M134" s="11">
        <f t="shared" si="36"/>
        <v>16684.701096000001</v>
      </c>
      <c r="N134" s="11">
        <f t="shared" si="37"/>
        <v>15262.071383999997</v>
      </c>
      <c r="O134" s="11">
        <f t="shared" si="38"/>
        <v>15262.071383999997</v>
      </c>
      <c r="P134" s="11">
        <f t="shared" si="39"/>
        <v>22284.3</v>
      </c>
      <c r="Q134" s="11">
        <f t="shared" si="40"/>
        <v>22284.3</v>
      </c>
      <c r="R134" s="11">
        <f t="shared" si="41"/>
        <v>22284.3</v>
      </c>
      <c r="S134" s="11">
        <f t="shared" si="42"/>
        <v>22284.3</v>
      </c>
      <c r="T134" s="11">
        <f t="shared" si="43"/>
        <v>21523.068311999999</v>
      </c>
      <c r="U134" s="11">
        <f t="shared" si="44"/>
        <v>20847.408335999997</v>
      </c>
      <c r="V134" s="13">
        <f t="shared" si="45"/>
        <v>22284.3</v>
      </c>
      <c r="X134" s="30"/>
    </row>
    <row r="135" spans="1:24" x14ac:dyDescent="0.25">
      <c r="A135" s="8">
        <v>133</v>
      </c>
      <c r="B135" s="8">
        <v>20.0486</v>
      </c>
      <c r="C135" s="8">
        <v>85.021100000000004</v>
      </c>
      <c r="D135" s="8" t="s">
        <v>7</v>
      </c>
      <c r="E135" s="8" t="s">
        <v>93</v>
      </c>
      <c r="F135" s="8">
        <v>2</v>
      </c>
      <c r="G135" s="8">
        <v>1431.83</v>
      </c>
      <c r="H135" s="8" t="s">
        <v>62</v>
      </c>
      <c r="I135" s="3">
        <f t="shared" si="32"/>
        <v>1.75</v>
      </c>
      <c r="J135" s="11">
        <f t="shared" si="33"/>
        <v>1977.3572299999998</v>
      </c>
      <c r="K135" s="11">
        <f t="shared" si="34"/>
        <v>1733.3733979999997</v>
      </c>
      <c r="L135" s="11">
        <f t="shared" si="35"/>
        <v>1449.8710579999999</v>
      </c>
      <c r="M135" s="11">
        <f t="shared" si="36"/>
        <v>1156.4890909999999</v>
      </c>
      <c r="N135" s="11">
        <f t="shared" si="37"/>
        <v>813.70898899999997</v>
      </c>
      <c r="O135" s="11">
        <f t="shared" si="38"/>
        <v>813.70898899999997</v>
      </c>
      <c r="P135" s="11">
        <f t="shared" si="39"/>
        <v>2505.7024999999999</v>
      </c>
      <c r="Q135" s="11">
        <f t="shared" si="40"/>
        <v>2505.7024999999999</v>
      </c>
      <c r="R135" s="11">
        <f t="shared" si="41"/>
        <v>2505.7024999999999</v>
      </c>
      <c r="S135" s="11">
        <f t="shared" si="42"/>
        <v>2505.7024999999999</v>
      </c>
      <c r="T135" s="11">
        <f t="shared" si="43"/>
        <v>2322.285077</v>
      </c>
      <c r="U135" s="11">
        <f t="shared" si="44"/>
        <v>2159.4860060000001</v>
      </c>
      <c r="V135" s="13">
        <f t="shared" si="45"/>
        <v>2505.7024999999999</v>
      </c>
      <c r="X135" s="30"/>
    </row>
    <row r="136" spans="1:24" x14ac:dyDescent="0.25">
      <c r="A136" s="8">
        <v>134</v>
      </c>
      <c r="B136" s="8">
        <v>20.0487</v>
      </c>
      <c r="C136" s="8">
        <v>85.0214</v>
      </c>
      <c r="D136" s="8" t="s">
        <v>7</v>
      </c>
      <c r="E136" s="8" t="s">
        <v>93</v>
      </c>
      <c r="F136" s="8">
        <v>2</v>
      </c>
      <c r="G136" s="8">
        <v>743.13</v>
      </c>
      <c r="H136" s="8" t="s">
        <v>62</v>
      </c>
      <c r="I136" s="3">
        <f t="shared" si="32"/>
        <v>1.75</v>
      </c>
      <c r="J136" s="11">
        <f t="shared" si="33"/>
        <v>1026.26253</v>
      </c>
      <c r="K136" s="11">
        <f t="shared" si="34"/>
        <v>899.63317799999993</v>
      </c>
      <c r="L136" s="11">
        <f t="shared" si="35"/>
        <v>752.49343799999997</v>
      </c>
      <c r="M136" s="11">
        <f t="shared" si="36"/>
        <v>600.22610099999997</v>
      </c>
      <c r="N136" s="11">
        <f t="shared" si="37"/>
        <v>422.32077900000002</v>
      </c>
      <c r="O136" s="11">
        <f t="shared" si="38"/>
        <v>422.32077900000002</v>
      </c>
      <c r="P136" s="11">
        <f t="shared" si="39"/>
        <v>1300.4775</v>
      </c>
      <c r="Q136" s="11">
        <f t="shared" si="40"/>
        <v>1300.4775</v>
      </c>
      <c r="R136" s="11">
        <f t="shared" si="41"/>
        <v>1300.4775</v>
      </c>
      <c r="S136" s="11">
        <f t="shared" si="42"/>
        <v>1300.4775</v>
      </c>
      <c r="T136" s="11">
        <f t="shared" si="43"/>
        <v>1205.282547</v>
      </c>
      <c r="U136" s="11">
        <f t="shared" si="44"/>
        <v>1120.7886659999999</v>
      </c>
      <c r="V136" s="13">
        <f t="shared" si="45"/>
        <v>1300.4775</v>
      </c>
      <c r="X136" s="30"/>
    </row>
    <row r="137" spans="1:24" x14ac:dyDescent="0.25">
      <c r="A137" s="8">
        <v>135</v>
      </c>
      <c r="B137" s="8">
        <v>20.0487</v>
      </c>
      <c r="C137" s="8">
        <v>85.022599999999997</v>
      </c>
      <c r="D137" s="8" t="s">
        <v>7</v>
      </c>
      <c r="E137" s="8" t="s">
        <v>93</v>
      </c>
      <c r="F137" s="8">
        <v>2</v>
      </c>
      <c r="G137" s="8">
        <v>539.77</v>
      </c>
      <c r="H137" s="8" t="s">
        <v>62</v>
      </c>
      <c r="I137" s="3">
        <f t="shared" si="32"/>
        <v>1.75</v>
      </c>
      <c r="J137" s="11">
        <f t="shared" si="33"/>
        <v>745.42237</v>
      </c>
      <c r="K137" s="11">
        <f t="shared" si="34"/>
        <v>653.44556199999988</v>
      </c>
      <c r="L137" s="11">
        <f t="shared" si="35"/>
        <v>546.571102</v>
      </c>
      <c r="M137" s="11">
        <f t="shared" si="36"/>
        <v>435.97222899999997</v>
      </c>
      <c r="N137" s="11">
        <f t="shared" si="37"/>
        <v>306.75129099999998</v>
      </c>
      <c r="O137" s="11">
        <f t="shared" si="38"/>
        <v>306.75129099999998</v>
      </c>
      <c r="P137" s="11">
        <f t="shared" si="39"/>
        <v>944.59749999999997</v>
      </c>
      <c r="Q137" s="11">
        <f t="shared" si="40"/>
        <v>944.59749999999997</v>
      </c>
      <c r="R137" s="11">
        <f t="shared" si="41"/>
        <v>944.59749999999997</v>
      </c>
      <c r="S137" s="11">
        <f t="shared" si="42"/>
        <v>944.59749999999997</v>
      </c>
      <c r="T137" s="11">
        <f t="shared" si="43"/>
        <v>875.45296300000007</v>
      </c>
      <c r="U137" s="11">
        <f t="shared" si="44"/>
        <v>814.08111399999996</v>
      </c>
      <c r="V137" s="13">
        <f t="shared" si="45"/>
        <v>944.59749999999997</v>
      </c>
      <c r="X137" s="30"/>
    </row>
    <row r="138" spans="1:24" x14ac:dyDescent="0.25">
      <c r="A138" s="8">
        <v>136</v>
      </c>
      <c r="B138" s="8">
        <v>20.051400000000001</v>
      </c>
      <c r="C138" s="8">
        <v>85.021699999999996</v>
      </c>
      <c r="D138" s="8" t="s">
        <v>7</v>
      </c>
      <c r="E138" s="8" t="s">
        <v>93</v>
      </c>
      <c r="F138" s="8">
        <v>2</v>
      </c>
      <c r="G138" s="8">
        <v>1429.34</v>
      </c>
      <c r="H138" s="8" t="s">
        <v>62</v>
      </c>
      <c r="I138" s="3">
        <f t="shared" si="32"/>
        <v>1.75</v>
      </c>
      <c r="J138" s="11">
        <f t="shared" si="33"/>
        <v>1973.9185399999999</v>
      </c>
      <c r="K138" s="11">
        <f t="shared" si="34"/>
        <v>1730.3590039999997</v>
      </c>
      <c r="L138" s="11">
        <f t="shared" si="35"/>
        <v>1447.3496839999998</v>
      </c>
      <c r="M138" s="11">
        <f t="shared" si="36"/>
        <v>1154.4779179999998</v>
      </c>
      <c r="N138" s="11">
        <f t="shared" si="37"/>
        <v>812.29392199999995</v>
      </c>
      <c r="O138" s="11">
        <f t="shared" si="38"/>
        <v>812.29392199999995</v>
      </c>
      <c r="P138" s="11">
        <f t="shared" si="39"/>
        <v>2501.3449999999998</v>
      </c>
      <c r="Q138" s="11">
        <f t="shared" si="40"/>
        <v>2501.3449999999998</v>
      </c>
      <c r="R138" s="11">
        <f t="shared" si="41"/>
        <v>2501.3449999999998</v>
      </c>
      <c r="S138" s="11">
        <f t="shared" si="42"/>
        <v>2501.3449999999998</v>
      </c>
      <c r="T138" s="11">
        <f t="shared" si="43"/>
        <v>2318.2465459999999</v>
      </c>
      <c r="U138" s="11">
        <f t="shared" si="44"/>
        <v>2155.7305879999999</v>
      </c>
      <c r="V138" s="13">
        <f t="shared" si="45"/>
        <v>2501.3449999999998</v>
      </c>
      <c r="X138" s="30"/>
    </row>
    <row r="139" spans="1:24" x14ac:dyDescent="0.25">
      <c r="A139" s="8">
        <v>137</v>
      </c>
      <c r="B139" s="8">
        <v>20.052099999999999</v>
      </c>
      <c r="C139" s="8">
        <v>85.023300000000006</v>
      </c>
      <c r="D139" s="8" t="s">
        <v>7</v>
      </c>
      <c r="E139" s="8" t="s">
        <v>93</v>
      </c>
      <c r="F139" s="8">
        <v>4</v>
      </c>
      <c r="G139" s="8">
        <v>3732.57</v>
      </c>
      <c r="H139" s="8" t="s">
        <v>62</v>
      </c>
      <c r="I139" s="3">
        <f t="shared" si="32"/>
        <v>3.75</v>
      </c>
      <c r="J139" s="11">
        <f t="shared" si="33"/>
        <v>12619.819170000001</v>
      </c>
      <c r="K139" s="11">
        <f t="shared" si="34"/>
        <v>11983.789242000001</v>
      </c>
      <c r="L139" s="11">
        <f t="shared" si="35"/>
        <v>11244.740382</v>
      </c>
      <c r="M139" s="11">
        <f t="shared" si="36"/>
        <v>10479.936789000001</v>
      </c>
      <c r="N139" s="11">
        <f t="shared" si="37"/>
        <v>9586.3595310000001</v>
      </c>
      <c r="O139" s="11">
        <f t="shared" si="38"/>
        <v>9586.3595310000001</v>
      </c>
      <c r="P139" s="11">
        <f t="shared" si="39"/>
        <v>13997.137500000001</v>
      </c>
      <c r="Q139" s="11">
        <f t="shared" si="40"/>
        <v>13997.137500000001</v>
      </c>
      <c r="R139" s="11">
        <f t="shared" si="41"/>
        <v>13997.137500000001</v>
      </c>
      <c r="S139" s="11">
        <f t="shared" si="42"/>
        <v>13997.137500000001</v>
      </c>
      <c r="T139" s="11">
        <f t="shared" si="43"/>
        <v>13518.995283</v>
      </c>
      <c r="U139" s="11">
        <f t="shared" si="44"/>
        <v>13094.602074</v>
      </c>
      <c r="V139" s="13">
        <f t="shared" si="45"/>
        <v>13997.137500000001</v>
      </c>
      <c r="X139" s="30"/>
    </row>
    <row r="140" spans="1:24" x14ac:dyDescent="0.25">
      <c r="A140" s="8">
        <v>138</v>
      </c>
      <c r="B140" s="8">
        <v>20.0471</v>
      </c>
      <c r="C140" s="8">
        <v>85.027299999999997</v>
      </c>
      <c r="D140" s="8" t="s">
        <v>7</v>
      </c>
      <c r="E140" s="8" t="s">
        <v>93</v>
      </c>
      <c r="F140" s="8">
        <v>4</v>
      </c>
      <c r="G140" s="8">
        <v>63936.160000000003</v>
      </c>
      <c r="H140" s="8" t="s">
        <v>62</v>
      </c>
      <c r="I140" s="3">
        <f t="shared" si="32"/>
        <v>3.75</v>
      </c>
      <c r="J140" s="11">
        <f t="shared" si="33"/>
        <v>216168.15696000002</v>
      </c>
      <c r="K140" s="11">
        <f t="shared" si="34"/>
        <v>205273.43529600001</v>
      </c>
      <c r="L140" s="11">
        <f t="shared" si="35"/>
        <v>192614.07561600002</v>
      </c>
      <c r="M140" s="11">
        <f t="shared" si="36"/>
        <v>179513.55643200001</v>
      </c>
      <c r="N140" s="11">
        <f t="shared" si="37"/>
        <v>164207.23972799999</v>
      </c>
      <c r="O140" s="11">
        <f t="shared" si="38"/>
        <v>164207.23972799999</v>
      </c>
      <c r="P140" s="11">
        <f t="shared" si="39"/>
        <v>239760.6</v>
      </c>
      <c r="Q140" s="11">
        <f t="shared" si="40"/>
        <v>239760.6</v>
      </c>
      <c r="R140" s="11">
        <f t="shared" si="41"/>
        <v>239760.6</v>
      </c>
      <c r="S140" s="11">
        <f t="shared" si="42"/>
        <v>239760.6</v>
      </c>
      <c r="T140" s="11">
        <f t="shared" si="43"/>
        <v>231570.37790400002</v>
      </c>
      <c r="U140" s="11">
        <f t="shared" si="44"/>
        <v>224300.83651200001</v>
      </c>
      <c r="V140" s="13">
        <f t="shared" si="45"/>
        <v>239760.6</v>
      </c>
      <c r="X140" s="30"/>
    </row>
    <row r="141" spans="1:24" x14ac:dyDescent="0.25">
      <c r="A141" s="8">
        <v>139</v>
      </c>
      <c r="B141" s="8">
        <v>20.0456</v>
      </c>
      <c r="C141" s="8">
        <v>85.028999999999996</v>
      </c>
      <c r="D141" s="8" t="s">
        <v>7</v>
      </c>
      <c r="E141" s="8" t="s">
        <v>93</v>
      </c>
      <c r="F141" s="8">
        <v>3</v>
      </c>
      <c r="G141" s="8">
        <v>3257.27</v>
      </c>
      <c r="H141" s="8" t="s">
        <v>62</v>
      </c>
      <c r="I141" s="3">
        <f t="shared" si="32"/>
        <v>2.75</v>
      </c>
      <c r="J141" s="11">
        <f t="shared" si="33"/>
        <v>7755.559870000001</v>
      </c>
      <c r="K141" s="11">
        <f t="shared" si="34"/>
        <v>7200.5210619999998</v>
      </c>
      <c r="L141" s="11">
        <f t="shared" si="35"/>
        <v>6555.5816020000002</v>
      </c>
      <c r="M141" s="11">
        <f t="shared" si="36"/>
        <v>5888.1669790000005</v>
      </c>
      <c r="N141" s="11">
        <f t="shared" si="37"/>
        <v>5108.3765409999996</v>
      </c>
      <c r="O141" s="11">
        <f t="shared" si="38"/>
        <v>5108.3765409999996</v>
      </c>
      <c r="P141" s="11">
        <f t="shared" si="39"/>
        <v>8957.4925000000003</v>
      </c>
      <c r="Q141" s="11">
        <f t="shared" si="40"/>
        <v>8957.4925000000003</v>
      </c>
      <c r="R141" s="11">
        <f t="shared" si="41"/>
        <v>8957.4925000000003</v>
      </c>
      <c r="S141" s="11">
        <f t="shared" si="42"/>
        <v>8957.4925000000003</v>
      </c>
      <c r="T141" s="11">
        <f t="shared" si="43"/>
        <v>8540.2362130000001</v>
      </c>
      <c r="U141" s="11">
        <f t="shared" si="44"/>
        <v>8169.8846139999996</v>
      </c>
      <c r="V141" s="13">
        <f t="shared" si="45"/>
        <v>8957.4925000000003</v>
      </c>
      <c r="X141" s="30"/>
    </row>
    <row r="142" spans="1:24" x14ac:dyDescent="0.25">
      <c r="A142" s="8">
        <v>140</v>
      </c>
      <c r="B142" s="8">
        <v>20.048300000000001</v>
      </c>
      <c r="C142" s="8">
        <v>85.029899999999998</v>
      </c>
      <c r="D142" s="8" t="s">
        <v>7</v>
      </c>
      <c r="E142" s="8" t="s">
        <v>93</v>
      </c>
      <c r="F142" s="8">
        <v>2</v>
      </c>
      <c r="G142" s="8">
        <v>1189.6199999999999</v>
      </c>
      <c r="H142" s="8" t="s">
        <v>62</v>
      </c>
      <c r="I142" s="3">
        <f t="shared" si="32"/>
        <v>1.75</v>
      </c>
      <c r="J142" s="11">
        <f t="shared" si="33"/>
        <v>1642.8652199999999</v>
      </c>
      <c r="K142" s="11">
        <f t="shared" si="34"/>
        <v>1440.1539719999998</v>
      </c>
      <c r="L142" s="11">
        <f t="shared" si="35"/>
        <v>1204.6092119999998</v>
      </c>
      <c r="M142" s="11">
        <f t="shared" si="36"/>
        <v>960.85607399999992</v>
      </c>
      <c r="N142" s="11">
        <f t="shared" si="37"/>
        <v>676.06104599999992</v>
      </c>
      <c r="O142" s="11">
        <f t="shared" si="38"/>
        <v>676.06104599999992</v>
      </c>
      <c r="P142" s="11">
        <f t="shared" si="39"/>
        <v>2081.835</v>
      </c>
      <c r="Q142" s="11">
        <f t="shared" si="40"/>
        <v>2081.835</v>
      </c>
      <c r="R142" s="11">
        <f t="shared" si="41"/>
        <v>2081.835</v>
      </c>
      <c r="S142" s="11">
        <f t="shared" si="42"/>
        <v>2081.835</v>
      </c>
      <c r="T142" s="11">
        <f t="shared" si="43"/>
        <v>1929.4446780000001</v>
      </c>
      <c r="U142" s="11">
        <f t="shared" si="44"/>
        <v>1794.1848839999998</v>
      </c>
      <c r="V142" s="13">
        <f t="shared" si="45"/>
        <v>2081.835</v>
      </c>
      <c r="X142" s="30"/>
    </row>
    <row r="143" spans="1:24" x14ac:dyDescent="0.25">
      <c r="A143" s="8">
        <v>141</v>
      </c>
      <c r="B143" s="8">
        <v>20.056100000000001</v>
      </c>
      <c r="C143" s="8">
        <v>85.026600000000002</v>
      </c>
      <c r="D143" s="8" t="s">
        <v>7</v>
      </c>
      <c r="E143" s="8" t="s">
        <v>93</v>
      </c>
      <c r="F143" s="8">
        <v>2</v>
      </c>
      <c r="G143" s="8">
        <v>783.64</v>
      </c>
      <c r="H143" s="8" t="s">
        <v>62</v>
      </c>
      <c r="I143" s="3">
        <f t="shared" si="32"/>
        <v>1.75</v>
      </c>
      <c r="J143" s="11">
        <f t="shared" si="33"/>
        <v>1082.2068400000001</v>
      </c>
      <c r="K143" s="11">
        <f t="shared" si="34"/>
        <v>948.67458399999987</v>
      </c>
      <c r="L143" s="11">
        <f t="shared" si="35"/>
        <v>793.5138639999999</v>
      </c>
      <c r="M143" s="11">
        <f t="shared" si="36"/>
        <v>632.94602799999996</v>
      </c>
      <c r="N143" s="11">
        <f t="shared" si="37"/>
        <v>445.34261200000003</v>
      </c>
      <c r="O143" s="11">
        <f t="shared" si="38"/>
        <v>445.34261200000003</v>
      </c>
      <c r="P143" s="11">
        <f t="shared" si="39"/>
        <v>1371.37</v>
      </c>
      <c r="Q143" s="11">
        <f t="shared" si="40"/>
        <v>1371.37</v>
      </c>
      <c r="R143" s="11">
        <f t="shared" si="41"/>
        <v>1371.37</v>
      </c>
      <c r="S143" s="11">
        <f t="shared" si="42"/>
        <v>1371.37</v>
      </c>
      <c r="T143" s="11">
        <f t="shared" si="43"/>
        <v>1270.9857160000001</v>
      </c>
      <c r="U143" s="11">
        <f t="shared" si="44"/>
        <v>1181.8858479999999</v>
      </c>
      <c r="V143" s="13">
        <f t="shared" si="45"/>
        <v>1371.37</v>
      </c>
      <c r="X143" s="30"/>
    </row>
    <row r="144" spans="1:24" x14ac:dyDescent="0.25">
      <c r="A144" s="8">
        <v>142</v>
      </c>
      <c r="B144" s="8">
        <v>20.057200000000002</v>
      </c>
      <c r="C144" s="8">
        <v>85.030100000000004</v>
      </c>
      <c r="D144" s="8" t="s">
        <v>7</v>
      </c>
      <c r="E144" s="8" t="s">
        <v>93</v>
      </c>
      <c r="F144" s="8">
        <v>3</v>
      </c>
      <c r="G144" s="8">
        <v>8135.61</v>
      </c>
      <c r="H144" s="8" t="s">
        <v>62</v>
      </c>
      <c r="I144" s="3">
        <f t="shared" si="32"/>
        <v>2.75</v>
      </c>
      <c r="J144" s="11">
        <f t="shared" si="33"/>
        <v>19370.887409999999</v>
      </c>
      <c r="K144" s="11">
        <f t="shared" si="34"/>
        <v>17984.579465999999</v>
      </c>
      <c r="L144" s="11">
        <f t="shared" si="35"/>
        <v>16373.728685999999</v>
      </c>
      <c r="M144" s="11">
        <f t="shared" si="36"/>
        <v>14706.742197</v>
      </c>
      <c r="N144" s="11">
        <f t="shared" si="37"/>
        <v>12759.077163</v>
      </c>
      <c r="O144" s="11">
        <f t="shared" si="38"/>
        <v>12759.077163</v>
      </c>
      <c r="P144" s="11">
        <f t="shared" si="39"/>
        <v>22372.927499999998</v>
      </c>
      <c r="Q144" s="11">
        <f t="shared" si="40"/>
        <v>22372.927499999998</v>
      </c>
      <c r="R144" s="11">
        <f t="shared" si="41"/>
        <v>22372.927499999998</v>
      </c>
      <c r="S144" s="11">
        <f t="shared" si="42"/>
        <v>22372.927499999998</v>
      </c>
      <c r="T144" s="11">
        <f t="shared" si="43"/>
        <v>21330.755859000001</v>
      </c>
      <c r="U144" s="11">
        <f t="shared" si="44"/>
        <v>20405.737001999998</v>
      </c>
      <c r="V144" s="13">
        <f t="shared" si="45"/>
        <v>22372.927499999998</v>
      </c>
      <c r="X144" s="30"/>
    </row>
    <row r="145" spans="1:24" x14ac:dyDescent="0.25">
      <c r="A145" s="8">
        <v>143</v>
      </c>
      <c r="B145" s="8">
        <v>20.057400000000001</v>
      </c>
      <c r="C145" s="8">
        <v>85.035399999999996</v>
      </c>
      <c r="D145" s="8" t="s">
        <v>7</v>
      </c>
      <c r="E145" s="8" t="s">
        <v>93</v>
      </c>
      <c r="F145" s="8">
        <v>3</v>
      </c>
      <c r="G145" s="8">
        <v>4566.41</v>
      </c>
      <c r="H145" s="8" t="s">
        <v>62</v>
      </c>
      <c r="I145" s="3">
        <f t="shared" si="32"/>
        <v>2.75</v>
      </c>
      <c r="J145" s="11">
        <f t="shared" si="33"/>
        <v>10872.622210000001</v>
      </c>
      <c r="K145" s="11">
        <f t="shared" si="34"/>
        <v>10094.505945999999</v>
      </c>
      <c r="L145" s="11">
        <f t="shared" si="35"/>
        <v>9190.356765999999</v>
      </c>
      <c r="M145" s="11">
        <f t="shared" si="36"/>
        <v>8254.6993569999995</v>
      </c>
      <c r="N145" s="11">
        <f t="shared" si="37"/>
        <v>7161.5008029999999</v>
      </c>
      <c r="O145" s="11">
        <f t="shared" si="38"/>
        <v>7161.5008029999999</v>
      </c>
      <c r="P145" s="11">
        <f t="shared" si="39"/>
        <v>12557.627499999999</v>
      </c>
      <c r="Q145" s="11">
        <f t="shared" si="40"/>
        <v>12557.627499999999</v>
      </c>
      <c r="R145" s="11">
        <f t="shared" si="41"/>
        <v>12557.627499999999</v>
      </c>
      <c r="S145" s="11">
        <f t="shared" si="42"/>
        <v>12557.627499999999</v>
      </c>
      <c r="T145" s="11">
        <f t="shared" si="43"/>
        <v>11972.670379000001</v>
      </c>
      <c r="U145" s="11">
        <f t="shared" si="44"/>
        <v>11453.469562</v>
      </c>
      <c r="V145" s="13">
        <f t="shared" si="45"/>
        <v>12557.627499999999</v>
      </c>
      <c r="X145" s="30"/>
    </row>
    <row r="146" spans="1:24" x14ac:dyDescent="0.25">
      <c r="A146" s="8">
        <v>144</v>
      </c>
      <c r="B146" s="8">
        <v>20.049199999999999</v>
      </c>
      <c r="C146" s="8">
        <v>85.040300000000002</v>
      </c>
      <c r="D146" s="8" t="s">
        <v>7</v>
      </c>
      <c r="E146" s="8" t="s">
        <v>93</v>
      </c>
      <c r="F146" s="8">
        <v>2</v>
      </c>
      <c r="G146" s="8">
        <v>1061.56</v>
      </c>
      <c r="H146" s="8" t="s">
        <v>62</v>
      </c>
      <c r="I146" s="3">
        <f t="shared" si="32"/>
        <v>1.75</v>
      </c>
      <c r="J146" s="11">
        <f t="shared" si="33"/>
        <v>1466.0143599999999</v>
      </c>
      <c r="K146" s="11">
        <f t="shared" si="34"/>
        <v>1285.1245359999998</v>
      </c>
      <c r="L146" s="11">
        <f t="shared" si="35"/>
        <v>1074.9356559999999</v>
      </c>
      <c r="M146" s="11">
        <f t="shared" si="36"/>
        <v>857.42201199999988</v>
      </c>
      <c r="N146" s="11">
        <f t="shared" si="37"/>
        <v>603.28454799999997</v>
      </c>
      <c r="O146" s="11">
        <f t="shared" si="38"/>
        <v>603.28454799999997</v>
      </c>
      <c r="P146" s="11">
        <f t="shared" si="39"/>
        <v>1857.73</v>
      </c>
      <c r="Q146" s="11">
        <f t="shared" si="40"/>
        <v>1857.73</v>
      </c>
      <c r="R146" s="11">
        <f t="shared" si="41"/>
        <v>1857.73</v>
      </c>
      <c r="S146" s="11">
        <f t="shared" si="42"/>
        <v>1857.73</v>
      </c>
      <c r="T146" s="11">
        <f t="shared" si="43"/>
        <v>1721.744164</v>
      </c>
      <c r="U146" s="11">
        <f t="shared" si="44"/>
        <v>1601.0447919999999</v>
      </c>
      <c r="V146" s="13">
        <f t="shared" si="45"/>
        <v>1857.73</v>
      </c>
      <c r="X146" s="30"/>
    </row>
    <row r="147" spans="1:24" x14ac:dyDescent="0.25">
      <c r="A147" s="8">
        <v>145</v>
      </c>
      <c r="B147" s="8">
        <v>20.045000000000002</v>
      </c>
      <c r="C147" s="8">
        <v>85.0351</v>
      </c>
      <c r="D147" s="8" t="s">
        <v>7</v>
      </c>
      <c r="E147" s="8" t="s">
        <v>93</v>
      </c>
      <c r="F147" s="8">
        <v>2</v>
      </c>
      <c r="G147" s="8">
        <v>384.65</v>
      </c>
      <c r="H147" s="8" t="s">
        <v>62</v>
      </c>
      <c r="I147" s="3">
        <f t="shared" si="32"/>
        <v>1.75</v>
      </c>
      <c r="J147" s="11">
        <f t="shared" si="33"/>
        <v>531.20164999999997</v>
      </c>
      <c r="K147" s="11">
        <f t="shared" si="34"/>
        <v>465.65728999999993</v>
      </c>
      <c r="L147" s="11">
        <f t="shared" si="35"/>
        <v>389.49658999999997</v>
      </c>
      <c r="M147" s="11">
        <f t="shared" si="36"/>
        <v>310.681805</v>
      </c>
      <c r="N147" s="11">
        <f t="shared" si="37"/>
        <v>218.59659500000001</v>
      </c>
      <c r="O147" s="11">
        <f t="shared" si="38"/>
        <v>218.59659500000001</v>
      </c>
      <c r="P147" s="11">
        <f t="shared" si="39"/>
        <v>673.13749999999993</v>
      </c>
      <c r="Q147" s="11">
        <f t="shared" si="40"/>
        <v>673.13749999999993</v>
      </c>
      <c r="R147" s="11">
        <f t="shared" si="41"/>
        <v>673.13749999999993</v>
      </c>
      <c r="S147" s="11">
        <f t="shared" si="42"/>
        <v>673.13749999999993</v>
      </c>
      <c r="T147" s="11">
        <f t="shared" si="43"/>
        <v>623.86383499999999</v>
      </c>
      <c r="U147" s="11">
        <f t="shared" si="44"/>
        <v>580.12912999999992</v>
      </c>
      <c r="V147" s="13">
        <f t="shared" si="45"/>
        <v>673.13749999999993</v>
      </c>
      <c r="X147" s="30"/>
    </row>
    <row r="148" spans="1:24" x14ac:dyDescent="0.25">
      <c r="A148" s="8">
        <v>146</v>
      </c>
      <c r="B148" s="8">
        <v>20.043199999999999</v>
      </c>
      <c r="C148" s="8">
        <v>85.034300000000002</v>
      </c>
      <c r="D148" s="8" t="s">
        <v>7</v>
      </c>
      <c r="E148" s="8" t="s">
        <v>93</v>
      </c>
      <c r="F148" s="8">
        <v>3</v>
      </c>
      <c r="G148" s="8">
        <v>3040.49</v>
      </c>
      <c r="H148" s="8" t="s">
        <v>62</v>
      </c>
      <c r="I148" s="3">
        <f t="shared" si="32"/>
        <v>2.75</v>
      </c>
      <c r="J148" s="11">
        <f t="shared" si="33"/>
        <v>7239.4066899999998</v>
      </c>
      <c r="K148" s="11">
        <f t="shared" si="34"/>
        <v>6721.3071939999991</v>
      </c>
      <c r="L148" s="11">
        <f t="shared" si="35"/>
        <v>6119.2901739999998</v>
      </c>
      <c r="M148" s="11">
        <f t="shared" si="36"/>
        <v>5496.2937729999994</v>
      </c>
      <c r="N148" s="11">
        <f t="shared" si="37"/>
        <v>4768.4004669999995</v>
      </c>
      <c r="O148" s="11">
        <f t="shared" si="38"/>
        <v>4768.4004669999995</v>
      </c>
      <c r="P148" s="11">
        <f t="shared" si="39"/>
        <v>8361.3474999999999</v>
      </c>
      <c r="Q148" s="11">
        <f t="shared" si="40"/>
        <v>8361.3474999999999</v>
      </c>
      <c r="R148" s="11">
        <f t="shared" si="41"/>
        <v>8361.3474999999999</v>
      </c>
      <c r="S148" s="11">
        <f t="shared" si="42"/>
        <v>8361.3474999999999</v>
      </c>
      <c r="T148" s="11">
        <f t="shared" si="43"/>
        <v>7971.8607309999998</v>
      </c>
      <c r="U148" s="11">
        <f t="shared" si="44"/>
        <v>7626.157017999999</v>
      </c>
      <c r="V148" s="13">
        <f t="shared" si="45"/>
        <v>8361.3474999999999</v>
      </c>
      <c r="X148" s="30"/>
    </row>
    <row r="149" spans="1:24" x14ac:dyDescent="0.25">
      <c r="A149" s="8">
        <v>147</v>
      </c>
      <c r="B149" s="8">
        <v>20.041899999999998</v>
      </c>
      <c r="C149" s="8">
        <v>85.027000000000001</v>
      </c>
      <c r="D149" s="8" t="s">
        <v>7</v>
      </c>
      <c r="E149" s="8" t="s">
        <v>93</v>
      </c>
      <c r="F149" s="8">
        <v>3</v>
      </c>
      <c r="G149" s="8">
        <v>5695.96</v>
      </c>
      <c r="H149" s="8" t="s">
        <v>62</v>
      </c>
      <c r="I149" s="3">
        <f t="shared" si="32"/>
        <v>2.75</v>
      </c>
      <c r="J149" s="11">
        <f t="shared" si="33"/>
        <v>13562.080760000001</v>
      </c>
      <c r="K149" s="11">
        <f t="shared" si="34"/>
        <v>12591.489175999999</v>
      </c>
      <c r="L149" s="11">
        <f t="shared" si="35"/>
        <v>11463.689096</v>
      </c>
      <c r="M149" s="11">
        <f t="shared" si="36"/>
        <v>10296.586892000001</v>
      </c>
      <c r="N149" s="11">
        <f t="shared" si="37"/>
        <v>8932.9740679999995</v>
      </c>
      <c r="O149" s="11">
        <f t="shared" si="38"/>
        <v>8932.9740679999995</v>
      </c>
      <c r="P149" s="11">
        <f t="shared" si="39"/>
        <v>15663.89</v>
      </c>
      <c r="Q149" s="11">
        <f t="shared" si="40"/>
        <v>15663.89</v>
      </c>
      <c r="R149" s="11">
        <f t="shared" si="41"/>
        <v>15663.89</v>
      </c>
      <c r="S149" s="11">
        <f t="shared" si="42"/>
        <v>15663.89</v>
      </c>
      <c r="T149" s="11">
        <f t="shared" si="43"/>
        <v>14934.237524</v>
      </c>
      <c r="U149" s="11">
        <f t="shared" si="44"/>
        <v>14286.606872</v>
      </c>
      <c r="V149" s="13">
        <f t="shared" si="45"/>
        <v>15663.89</v>
      </c>
      <c r="X149" s="30"/>
    </row>
    <row r="150" spans="1:24" x14ac:dyDescent="0.25">
      <c r="A150" s="8">
        <v>148</v>
      </c>
      <c r="B150" s="8">
        <v>20.0337</v>
      </c>
      <c r="C150" s="8">
        <v>85.035200000000003</v>
      </c>
      <c r="D150" s="8" t="s">
        <v>7</v>
      </c>
      <c r="E150" s="8" t="s">
        <v>93</v>
      </c>
      <c r="F150" s="8">
        <v>2</v>
      </c>
      <c r="G150" s="8">
        <v>649.66</v>
      </c>
      <c r="H150" s="8" t="s">
        <v>62</v>
      </c>
      <c r="I150" s="3">
        <f t="shared" si="32"/>
        <v>1.75</v>
      </c>
      <c r="J150" s="11">
        <f t="shared" si="33"/>
        <v>897.18045999999993</v>
      </c>
      <c r="K150" s="11">
        <f t="shared" si="34"/>
        <v>786.47839599999986</v>
      </c>
      <c r="L150" s="11">
        <f t="shared" si="35"/>
        <v>657.84571599999992</v>
      </c>
      <c r="M150" s="11">
        <f t="shared" si="36"/>
        <v>524.73038199999996</v>
      </c>
      <c r="N150" s="11">
        <f t="shared" si="37"/>
        <v>369.20177799999999</v>
      </c>
      <c r="O150" s="11">
        <f t="shared" si="38"/>
        <v>369.20177799999999</v>
      </c>
      <c r="P150" s="11">
        <f t="shared" si="39"/>
        <v>1136.905</v>
      </c>
      <c r="Q150" s="11">
        <f t="shared" si="40"/>
        <v>1136.905</v>
      </c>
      <c r="R150" s="11">
        <f t="shared" si="41"/>
        <v>1136.905</v>
      </c>
      <c r="S150" s="11">
        <f t="shared" si="42"/>
        <v>1136.905</v>
      </c>
      <c r="T150" s="11">
        <f t="shared" si="43"/>
        <v>1053.683554</v>
      </c>
      <c r="U150" s="11">
        <f t="shared" si="44"/>
        <v>979.81721199999993</v>
      </c>
      <c r="V150" s="13">
        <f t="shared" si="45"/>
        <v>1136.905</v>
      </c>
      <c r="X150" s="30"/>
    </row>
    <row r="151" spans="1:24" x14ac:dyDescent="0.25">
      <c r="A151" s="8">
        <v>149</v>
      </c>
      <c r="B151" s="8">
        <v>20.022300000000001</v>
      </c>
      <c r="C151" s="8">
        <v>85.030900000000003</v>
      </c>
      <c r="D151" s="8" t="s">
        <v>7</v>
      </c>
      <c r="E151" s="8" t="s">
        <v>93</v>
      </c>
      <c r="F151" s="8">
        <v>2.5</v>
      </c>
      <c r="G151" s="8">
        <v>5296.08</v>
      </c>
      <c r="H151" s="8" t="s">
        <v>58</v>
      </c>
      <c r="I151" s="3">
        <f t="shared" si="32"/>
        <v>2.25</v>
      </c>
      <c r="J151" s="11">
        <f t="shared" si="33"/>
        <v>9961.9264800000001</v>
      </c>
      <c r="K151" s="11">
        <f t="shared" si="34"/>
        <v>9059.474447999999</v>
      </c>
      <c r="L151" s="11">
        <f t="shared" si="35"/>
        <v>8010.8506079999997</v>
      </c>
      <c r="M151" s="11">
        <f t="shared" si="36"/>
        <v>6925.6838160000007</v>
      </c>
      <c r="N151" s="11">
        <f t="shared" si="37"/>
        <v>5657.8022639999999</v>
      </c>
      <c r="O151" s="11">
        <f t="shared" si="38"/>
        <v>5657.8022639999999</v>
      </c>
      <c r="P151" s="11">
        <f t="shared" si="39"/>
        <v>11916.18</v>
      </c>
      <c r="Q151" s="11">
        <f t="shared" si="40"/>
        <v>11916.18</v>
      </c>
      <c r="R151" s="11">
        <f t="shared" si="41"/>
        <v>11916.18</v>
      </c>
      <c r="S151" s="11">
        <f t="shared" si="42"/>
        <v>11916.18</v>
      </c>
      <c r="T151" s="11">
        <f t="shared" si="43"/>
        <v>11237.752152000001</v>
      </c>
      <c r="U151" s="11">
        <f t="shared" si="44"/>
        <v>10635.587856</v>
      </c>
      <c r="V151" s="13">
        <f t="shared" si="45"/>
        <v>11916.18</v>
      </c>
      <c r="X151" s="30"/>
    </row>
    <row r="152" spans="1:24" x14ac:dyDescent="0.25">
      <c r="A152" s="8">
        <v>150</v>
      </c>
      <c r="B152" s="8">
        <v>20.024899999999999</v>
      </c>
      <c r="C152" s="8">
        <v>85.032200000000003</v>
      </c>
      <c r="D152" s="8" t="s">
        <v>7</v>
      </c>
      <c r="E152" s="8" t="s">
        <v>93</v>
      </c>
      <c r="F152" s="8">
        <v>3</v>
      </c>
      <c r="G152" s="8">
        <v>806.06</v>
      </c>
      <c r="H152" s="8" t="s">
        <v>58</v>
      </c>
      <c r="I152" s="3">
        <f t="shared" si="32"/>
        <v>2.75</v>
      </c>
      <c r="J152" s="11">
        <f t="shared" si="33"/>
        <v>1919.2288599999999</v>
      </c>
      <c r="K152" s="11">
        <f t="shared" si="34"/>
        <v>1781.8762359999998</v>
      </c>
      <c r="L152" s="11">
        <f t="shared" si="35"/>
        <v>1622.2763559999999</v>
      </c>
      <c r="M152" s="11">
        <f t="shared" si="36"/>
        <v>1457.114662</v>
      </c>
      <c r="N152" s="11">
        <f t="shared" si="37"/>
        <v>1264.143898</v>
      </c>
      <c r="O152" s="11">
        <f t="shared" si="38"/>
        <v>1264.143898</v>
      </c>
      <c r="P152" s="11">
        <f t="shared" si="39"/>
        <v>2216.665</v>
      </c>
      <c r="Q152" s="11">
        <f t="shared" si="40"/>
        <v>2216.665</v>
      </c>
      <c r="R152" s="11">
        <f t="shared" si="41"/>
        <v>2216.665</v>
      </c>
      <c r="S152" s="11">
        <f t="shared" si="42"/>
        <v>2216.665</v>
      </c>
      <c r="T152" s="11">
        <f t="shared" si="43"/>
        <v>2113.4087140000001</v>
      </c>
      <c r="U152" s="11">
        <f t="shared" si="44"/>
        <v>2021.7596919999999</v>
      </c>
      <c r="V152" s="13">
        <f t="shared" si="45"/>
        <v>2216.665</v>
      </c>
      <c r="X152" s="30"/>
    </row>
    <row r="153" spans="1:24" x14ac:dyDescent="0.25">
      <c r="A153" s="8">
        <v>151</v>
      </c>
      <c r="B153" s="8">
        <v>20.005700000000001</v>
      </c>
      <c r="C153" s="8">
        <v>85.036000000000001</v>
      </c>
      <c r="D153" s="8" t="s">
        <v>7</v>
      </c>
      <c r="E153" s="8" t="s">
        <v>93</v>
      </c>
      <c r="F153" s="8">
        <v>3</v>
      </c>
      <c r="G153" s="8">
        <v>834.92</v>
      </c>
      <c r="H153" s="8" t="s">
        <v>59</v>
      </c>
      <c r="I153" s="3">
        <f t="shared" si="32"/>
        <v>2.75</v>
      </c>
      <c r="J153" s="11">
        <f t="shared" si="33"/>
        <v>1987.94452</v>
      </c>
      <c r="K153" s="11">
        <f t="shared" si="34"/>
        <v>1845.6741519999998</v>
      </c>
      <c r="L153" s="11">
        <f t="shared" si="35"/>
        <v>1680.3599919999999</v>
      </c>
      <c r="M153" s="11">
        <f t="shared" si="36"/>
        <v>1509.2848839999999</v>
      </c>
      <c r="N153" s="11">
        <f t="shared" si="37"/>
        <v>1309.4050359999999</v>
      </c>
      <c r="O153" s="11">
        <f t="shared" si="38"/>
        <v>1309.4050359999999</v>
      </c>
      <c r="P153" s="11">
        <f t="shared" si="39"/>
        <v>2296.0299999999997</v>
      </c>
      <c r="Q153" s="11">
        <f t="shared" si="40"/>
        <v>2296.0299999999997</v>
      </c>
      <c r="R153" s="11">
        <f t="shared" si="41"/>
        <v>2296.0299999999997</v>
      </c>
      <c r="S153" s="11">
        <f t="shared" si="42"/>
        <v>2296.0299999999997</v>
      </c>
      <c r="T153" s="11">
        <f t="shared" si="43"/>
        <v>2189.076748</v>
      </c>
      <c r="U153" s="11">
        <f t="shared" si="44"/>
        <v>2094.1463439999998</v>
      </c>
      <c r="V153" s="13">
        <f t="shared" si="45"/>
        <v>2296.0299999999997</v>
      </c>
      <c r="X153" s="30"/>
    </row>
    <row r="154" spans="1:24" x14ac:dyDescent="0.25">
      <c r="A154" s="8">
        <v>152</v>
      </c>
      <c r="B154" s="8">
        <v>20.0063</v>
      </c>
      <c r="C154" s="8">
        <v>85.037499999999994</v>
      </c>
      <c r="D154" s="8" t="s">
        <v>7</v>
      </c>
      <c r="E154" s="8" t="s">
        <v>93</v>
      </c>
      <c r="F154" s="8">
        <v>2.5</v>
      </c>
      <c r="G154" s="8">
        <v>2188.15</v>
      </c>
      <c r="H154" s="8" t="s">
        <v>59</v>
      </c>
      <c r="I154" s="3">
        <f t="shared" si="32"/>
        <v>2.25</v>
      </c>
      <c r="J154" s="11">
        <f t="shared" si="33"/>
        <v>4115.9101500000006</v>
      </c>
      <c r="K154" s="11">
        <f t="shared" si="34"/>
        <v>3743.0493900000001</v>
      </c>
      <c r="L154" s="11">
        <f t="shared" si="35"/>
        <v>3309.7956899999999</v>
      </c>
      <c r="M154" s="11">
        <f t="shared" si="36"/>
        <v>2861.4437550000002</v>
      </c>
      <c r="N154" s="11">
        <f t="shared" si="37"/>
        <v>2337.600645</v>
      </c>
      <c r="O154" s="11">
        <f t="shared" si="38"/>
        <v>2337.600645</v>
      </c>
      <c r="P154" s="11">
        <f t="shared" si="39"/>
        <v>4923.3375000000005</v>
      </c>
      <c r="Q154" s="11">
        <f t="shared" si="40"/>
        <v>4923.3375000000005</v>
      </c>
      <c r="R154" s="11">
        <f t="shared" si="41"/>
        <v>4923.3375000000005</v>
      </c>
      <c r="S154" s="11">
        <f t="shared" si="42"/>
        <v>4923.3375000000005</v>
      </c>
      <c r="T154" s="11">
        <f t="shared" si="43"/>
        <v>4643.0354850000003</v>
      </c>
      <c r="U154" s="11">
        <f t="shared" si="44"/>
        <v>4394.2428300000001</v>
      </c>
      <c r="V154" s="13">
        <f t="shared" si="45"/>
        <v>4923.3375000000005</v>
      </c>
      <c r="X154" s="30"/>
    </row>
    <row r="155" spans="1:24" x14ac:dyDescent="0.25">
      <c r="A155" s="8">
        <v>153</v>
      </c>
      <c r="B155" s="8">
        <v>20.008900000000001</v>
      </c>
      <c r="C155" s="8">
        <v>85.051699999999997</v>
      </c>
      <c r="D155" s="8" t="s">
        <v>7</v>
      </c>
      <c r="E155" s="8" t="s">
        <v>93</v>
      </c>
      <c r="F155" s="8">
        <v>4</v>
      </c>
      <c r="G155" s="8">
        <v>3361.19</v>
      </c>
      <c r="H155" s="8" t="s">
        <v>59</v>
      </c>
      <c r="I155" s="3">
        <f t="shared" si="32"/>
        <v>3.75</v>
      </c>
      <c r="J155" s="11">
        <f t="shared" si="33"/>
        <v>11364.18339</v>
      </c>
      <c r="K155" s="11">
        <f t="shared" si="34"/>
        <v>10791.436614</v>
      </c>
      <c r="L155" s="11">
        <f t="shared" si="35"/>
        <v>10125.920994</v>
      </c>
      <c r="M155" s="11">
        <f t="shared" si="36"/>
        <v>9437.2131630000003</v>
      </c>
      <c r="N155" s="11">
        <f t="shared" si="37"/>
        <v>8632.5442769999991</v>
      </c>
      <c r="O155" s="11">
        <f t="shared" si="38"/>
        <v>8632.5442769999991</v>
      </c>
      <c r="P155" s="11">
        <f t="shared" si="39"/>
        <v>12604.4625</v>
      </c>
      <c r="Q155" s="11">
        <f t="shared" si="40"/>
        <v>12604.4625</v>
      </c>
      <c r="R155" s="11">
        <f t="shared" si="41"/>
        <v>12604.4625</v>
      </c>
      <c r="S155" s="11">
        <f t="shared" si="42"/>
        <v>12604.4625</v>
      </c>
      <c r="T155" s="11">
        <f t="shared" si="43"/>
        <v>12173.894061000001</v>
      </c>
      <c r="U155" s="11">
        <f t="shared" si="44"/>
        <v>11791.726758000001</v>
      </c>
      <c r="V155" s="13">
        <f t="shared" si="45"/>
        <v>12604.4625</v>
      </c>
      <c r="X155" s="30"/>
    </row>
    <row r="156" spans="1:24" x14ac:dyDescent="0.25">
      <c r="A156" s="8">
        <v>154</v>
      </c>
      <c r="B156" s="8">
        <v>20.009499999999999</v>
      </c>
      <c r="C156" s="8">
        <v>85.052199999999999</v>
      </c>
      <c r="D156" s="8" t="s">
        <v>7</v>
      </c>
      <c r="E156" s="8" t="s">
        <v>93</v>
      </c>
      <c r="F156" s="8">
        <v>2</v>
      </c>
      <c r="G156" s="8">
        <v>1453.04</v>
      </c>
      <c r="H156" s="8" t="s">
        <v>59</v>
      </c>
      <c r="I156" s="3">
        <f t="shared" si="32"/>
        <v>1.75</v>
      </c>
      <c r="J156" s="11">
        <f t="shared" si="33"/>
        <v>2006.64824</v>
      </c>
      <c r="K156" s="11">
        <f t="shared" si="34"/>
        <v>1759.0502239999998</v>
      </c>
      <c r="L156" s="11">
        <f t="shared" si="35"/>
        <v>1471.3483039999999</v>
      </c>
      <c r="M156" s="11">
        <f t="shared" si="36"/>
        <v>1173.620408</v>
      </c>
      <c r="N156" s="11">
        <f t="shared" si="37"/>
        <v>825.76263200000005</v>
      </c>
      <c r="O156" s="11">
        <f t="shared" si="38"/>
        <v>825.76263200000005</v>
      </c>
      <c r="P156" s="11">
        <f t="shared" si="39"/>
        <v>2542.8199999999997</v>
      </c>
      <c r="Q156" s="11">
        <f t="shared" si="40"/>
        <v>2542.8199999999997</v>
      </c>
      <c r="R156" s="11">
        <f t="shared" si="41"/>
        <v>2542.8199999999997</v>
      </c>
      <c r="S156" s="11">
        <f t="shared" si="42"/>
        <v>2542.8199999999997</v>
      </c>
      <c r="T156" s="11">
        <f t="shared" si="43"/>
        <v>2356.6855760000003</v>
      </c>
      <c r="U156" s="11">
        <f t="shared" si="44"/>
        <v>2191.4749280000001</v>
      </c>
      <c r="V156" s="13">
        <f t="shared" si="45"/>
        <v>2542.8199999999997</v>
      </c>
      <c r="X156" s="30"/>
    </row>
    <row r="157" spans="1:24" x14ac:dyDescent="0.25">
      <c r="A157" s="8">
        <v>155</v>
      </c>
      <c r="B157" s="8">
        <v>20.0123</v>
      </c>
      <c r="C157" s="8">
        <v>85.055899999999994</v>
      </c>
      <c r="D157" s="8" t="s">
        <v>7</v>
      </c>
      <c r="E157" s="8" t="s">
        <v>93</v>
      </c>
      <c r="F157" s="8">
        <v>4</v>
      </c>
      <c r="G157" s="8">
        <v>1846.38</v>
      </c>
      <c r="H157" s="8" t="s">
        <v>59</v>
      </c>
      <c r="I157" s="3">
        <f t="shared" si="32"/>
        <v>3.75</v>
      </c>
      <c r="J157" s="11">
        <f t="shared" si="33"/>
        <v>6242.6107800000009</v>
      </c>
      <c r="K157" s="11">
        <f t="shared" si="34"/>
        <v>5927.9876279999999</v>
      </c>
      <c r="L157" s="11">
        <f t="shared" si="35"/>
        <v>5562.4043879999999</v>
      </c>
      <c r="M157" s="11">
        <f t="shared" si="36"/>
        <v>5184.081126</v>
      </c>
      <c r="N157" s="11">
        <f t="shared" si="37"/>
        <v>4742.0577539999995</v>
      </c>
      <c r="O157" s="11">
        <f t="shared" si="38"/>
        <v>4742.0577539999995</v>
      </c>
      <c r="P157" s="11">
        <f t="shared" si="39"/>
        <v>6923.9250000000002</v>
      </c>
      <c r="Q157" s="11">
        <f t="shared" si="40"/>
        <v>6923.9250000000002</v>
      </c>
      <c r="R157" s="11">
        <f t="shared" si="41"/>
        <v>6923.9250000000002</v>
      </c>
      <c r="S157" s="11">
        <f t="shared" si="42"/>
        <v>6923.9250000000002</v>
      </c>
      <c r="T157" s="11">
        <f t="shared" si="43"/>
        <v>6687.4037220000009</v>
      </c>
      <c r="U157" s="11">
        <f t="shared" si="44"/>
        <v>6477.4703159999999</v>
      </c>
      <c r="V157" s="13">
        <f t="shared" si="45"/>
        <v>6923.9250000000002</v>
      </c>
      <c r="X157" s="30"/>
    </row>
    <row r="158" spans="1:24" x14ac:dyDescent="0.25">
      <c r="A158" s="8">
        <v>156</v>
      </c>
      <c r="B158" s="8">
        <v>20.011500000000002</v>
      </c>
      <c r="C158" s="8">
        <v>85.055700000000002</v>
      </c>
      <c r="D158" s="8" t="s">
        <v>7</v>
      </c>
      <c r="E158" s="8" t="s">
        <v>93</v>
      </c>
      <c r="F158" s="8">
        <v>2</v>
      </c>
      <c r="G158" s="8">
        <v>4978.2299999999996</v>
      </c>
      <c r="H158" s="8" t="s">
        <v>59</v>
      </c>
      <c r="I158" s="3">
        <f t="shared" si="32"/>
        <v>1.75</v>
      </c>
      <c r="J158" s="11">
        <f t="shared" si="33"/>
        <v>6874.935629999999</v>
      </c>
      <c r="K158" s="11">
        <f t="shared" si="34"/>
        <v>6026.6452379999992</v>
      </c>
      <c r="L158" s="11">
        <f t="shared" si="35"/>
        <v>5040.9556979999988</v>
      </c>
      <c r="M158" s="11">
        <f t="shared" si="36"/>
        <v>4020.9163709999993</v>
      </c>
      <c r="N158" s="11">
        <f t="shared" si="37"/>
        <v>2829.1281089999998</v>
      </c>
      <c r="O158" s="11">
        <f t="shared" si="38"/>
        <v>2829.1281089999998</v>
      </c>
      <c r="P158" s="11">
        <f t="shared" si="39"/>
        <v>8711.9025000000001</v>
      </c>
      <c r="Q158" s="11">
        <f t="shared" si="40"/>
        <v>8711.9025000000001</v>
      </c>
      <c r="R158" s="11">
        <f t="shared" si="41"/>
        <v>8711.9025000000001</v>
      </c>
      <c r="S158" s="11">
        <f t="shared" si="42"/>
        <v>8711.9025000000001</v>
      </c>
      <c r="T158" s="11">
        <f t="shared" si="43"/>
        <v>8074.191237</v>
      </c>
      <c r="U158" s="11">
        <f t="shared" si="44"/>
        <v>7508.1664859999992</v>
      </c>
      <c r="V158" s="13">
        <f t="shared" si="45"/>
        <v>8711.9025000000001</v>
      </c>
      <c r="X158" s="30"/>
    </row>
    <row r="159" spans="1:24" x14ac:dyDescent="0.25">
      <c r="A159" s="8">
        <v>157</v>
      </c>
      <c r="B159" s="8">
        <v>20.013000000000002</v>
      </c>
      <c r="C159" s="8">
        <v>85.056100000000001</v>
      </c>
      <c r="D159" s="8" t="s">
        <v>7</v>
      </c>
      <c r="E159" s="8" t="s">
        <v>93</v>
      </c>
      <c r="F159" s="8">
        <v>3</v>
      </c>
      <c r="G159" s="8">
        <v>8097.19</v>
      </c>
      <c r="H159" s="8" t="s">
        <v>59</v>
      </c>
      <c r="I159" s="3">
        <f t="shared" si="32"/>
        <v>2.75</v>
      </c>
      <c r="J159" s="11">
        <f t="shared" si="33"/>
        <v>19279.409390000001</v>
      </c>
      <c r="K159" s="11">
        <f t="shared" si="34"/>
        <v>17899.648213999997</v>
      </c>
      <c r="L159" s="11">
        <f t="shared" si="35"/>
        <v>16296.404594</v>
      </c>
      <c r="M159" s="11">
        <f t="shared" si="36"/>
        <v>14637.290363</v>
      </c>
      <c r="N159" s="11">
        <f t="shared" si="37"/>
        <v>12698.823076999999</v>
      </c>
      <c r="O159" s="11">
        <f t="shared" si="38"/>
        <v>12698.823076999999</v>
      </c>
      <c r="P159" s="11">
        <f t="shared" si="39"/>
        <v>22267.272499999999</v>
      </c>
      <c r="Q159" s="11">
        <f t="shared" si="40"/>
        <v>22267.272499999999</v>
      </c>
      <c r="R159" s="11">
        <f t="shared" si="41"/>
        <v>22267.272499999999</v>
      </c>
      <c r="S159" s="11">
        <f t="shared" si="42"/>
        <v>22267.272499999999</v>
      </c>
      <c r="T159" s="11">
        <f t="shared" si="43"/>
        <v>21230.022461</v>
      </c>
      <c r="U159" s="11">
        <f t="shared" si="44"/>
        <v>20309.371958</v>
      </c>
      <c r="V159" s="13">
        <f t="shared" si="45"/>
        <v>22267.272499999999</v>
      </c>
      <c r="X159" s="30"/>
    </row>
    <row r="160" spans="1:24" x14ac:dyDescent="0.25">
      <c r="A160" s="8">
        <v>158</v>
      </c>
      <c r="B160" s="8">
        <v>20.0136</v>
      </c>
      <c r="C160" s="8">
        <v>85.050200000000004</v>
      </c>
      <c r="D160" s="8" t="s">
        <v>7</v>
      </c>
      <c r="E160" s="8" t="s">
        <v>93</v>
      </c>
      <c r="F160" s="8">
        <v>4</v>
      </c>
      <c r="G160" s="8">
        <v>14801.2</v>
      </c>
      <c r="H160" s="8" t="s">
        <v>59</v>
      </c>
      <c r="I160" s="3">
        <f t="shared" si="32"/>
        <v>3.75</v>
      </c>
      <c r="J160" s="11">
        <f t="shared" si="33"/>
        <v>50042.857200000006</v>
      </c>
      <c r="K160" s="11">
        <f t="shared" si="34"/>
        <v>47520.73272</v>
      </c>
      <c r="L160" s="11">
        <f t="shared" si="35"/>
        <v>44590.095119999998</v>
      </c>
      <c r="M160" s="11">
        <f t="shared" si="36"/>
        <v>41557.329240000006</v>
      </c>
      <c r="N160" s="11">
        <f t="shared" si="37"/>
        <v>38013.92196</v>
      </c>
      <c r="O160" s="11">
        <f t="shared" si="38"/>
        <v>38013.92196</v>
      </c>
      <c r="P160" s="11">
        <f t="shared" si="39"/>
        <v>55504.5</v>
      </c>
      <c r="Q160" s="11">
        <f t="shared" si="40"/>
        <v>55504.5</v>
      </c>
      <c r="R160" s="11">
        <f t="shared" si="41"/>
        <v>55504.5</v>
      </c>
      <c r="S160" s="11">
        <f t="shared" si="42"/>
        <v>55504.5</v>
      </c>
      <c r="T160" s="11">
        <f t="shared" si="43"/>
        <v>53608.466280000008</v>
      </c>
      <c r="U160" s="11">
        <f t="shared" si="44"/>
        <v>51925.569840000004</v>
      </c>
      <c r="V160" s="13">
        <f t="shared" si="45"/>
        <v>55504.5</v>
      </c>
      <c r="X160" s="30"/>
    </row>
    <row r="161" spans="1:24" x14ac:dyDescent="0.25">
      <c r="A161" s="8">
        <v>159</v>
      </c>
      <c r="B161" s="8">
        <v>20.012799999999999</v>
      </c>
      <c r="C161" s="8">
        <v>85.051699999999997</v>
      </c>
      <c r="D161" s="8" t="s">
        <v>7</v>
      </c>
      <c r="E161" s="8" t="s">
        <v>93</v>
      </c>
      <c r="F161" s="8">
        <v>2</v>
      </c>
      <c r="G161" s="8">
        <v>499.14</v>
      </c>
      <c r="H161" s="8" t="s">
        <v>59</v>
      </c>
      <c r="I161" s="3">
        <f t="shared" si="32"/>
        <v>1.75</v>
      </c>
      <c r="J161" s="11">
        <f t="shared" si="33"/>
        <v>689.31233999999995</v>
      </c>
      <c r="K161" s="11">
        <f t="shared" si="34"/>
        <v>604.25888399999997</v>
      </c>
      <c r="L161" s="11">
        <f t="shared" si="35"/>
        <v>505.42916399999996</v>
      </c>
      <c r="M161" s="11">
        <f t="shared" si="36"/>
        <v>403.15537799999998</v>
      </c>
      <c r="N161" s="11">
        <f t="shared" si="37"/>
        <v>283.66126200000002</v>
      </c>
      <c r="O161" s="11">
        <f t="shared" si="38"/>
        <v>283.66126200000002</v>
      </c>
      <c r="P161" s="11">
        <f t="shared" si="39"/>
        <v>873.495</v>
      </c>
      <c r="Q161" s="11">
        <f t="shared" si="40"/>
        <v>873.495</v>
      </c>
      <c r="R161" s="11">
        <f t="shared" si="41"/>
        <v>873.495</v>
      </c>
      <c r="S161" s="11">
        <f t="shared" si="42"/>
        <v>873.495</v>
      </c>
      <c r="T161" s="11">
        <f t="shared" si="43"/>
        <v>809.55516599999999</v>
      </c>
      <c r="U161" s="11">
        <f t="shared" si="44"/>
        <v>752.80294800000001</v>
      </c>
      <c r="V161" s="13">
        <f t="shared" si="45"/>
        <v>873.495</v>
      </c>
      <c r="X161" s="30"/>
    </row>
    <row r="162" spans="1:24" x14ac:dyDescent="0.25">
      <c r="A162" s="8">
        <v>160</v>
      </c>
      <c r="B162" s="8">
        <v>20.015000000000001</v>
      </c>
      <c r="C162" s="8">
        <v>85.054000000000002</v>
      </c>
      <c r="D162" s="8" t="s">
        <v>7</v>
      </c>
      <c r="E162" s="8" t="s">
        <v>93</v>
      </c>
      <c r="F162" s="8">
        <v>4</v>
      </c>
      <c r="G162" s="8">
        <v>6020.76</v>
      </c>
      <c r="H162" s="8" t="s">
        <v>59</v>
      </c>
      <c r="I162" s="3">
        <f t="shared" si="32"/>
        <v>3.75</v>
      </c>
      <c r="J162" s="11">
        <f t="shared" si="33"/>
        <v>20356.189560000003</v>
      </c>
      <c r="K162" s="11">
        <f t="shared" si="34"/>
        <v>19330.252056000001</v>
      </c>
      <c r="L162" s="11">
        <f t="shared" si="35"/>
        <v>18138.141576000002</v>
      </c>
      <c r="M162" s="11">
        <f t="shared" si="36"/>
        <v>16904.487852000002</v>
      </c>
      <c r="N162" s="11">
        <f t="shared" si="37"/>
        <v>15463.117908</v>
      </c>
      <c r="O162" s="11">
        <f t="shared" si="38"/>
        <v>15463.117908</v>
      </c>
      <c r="P162" s="11">
        <f t="shared" si="39"/>
        <v>22577.850000000002</v>
      </c>
      <c r="Q162" s="11">
        <f t="shared" si="40"/>
        <v>22577.850000000002</v>
      </c>
      <c r="R162" s="11">
        <f t="shared" si="41"/>
        <v>22577.850000000002</v>
      </c>
      <c r="S162" s="11">
        <f t="shared" si="42"/>
        <v>22577.850000000002</v>
      </c>
      <c r="T162" s="11">
        <f t="shared" si="43"/>
        <v>21806.590644</v>
      </c>
      <c r="U162" s="11">
        <f t="shared" si="44"/>
        <v>21122.030232000001</v>
      </c>
      <c r="V162" s="13">
        <f t="shared" si="45"/>
        <v>22577.850000000002</v>
      </c>
      <c r="X162" s="30"/>
    </row>
    <row r="163" spans="1:24" x14ac:dyDescent="0.25">
      <c r="A163" s="8">
        <v>161</v>
      </c>
      <c r="B163" s="8">
        <v>20.016100000000002</v>
      </c>
      <c r="C163" s="8">
        <v>85.059899999999999</v>
      </c>
      <c r="D163" s="8" t="s">
        <v>7</v>
      </c>
      <c r="E163" s="8" t="s">
        <v>93</v>
      </c>
      <c r="F163" s="8">
        <v>4</v>
      </c>
      <c r="G163" s="8">
        <v>7645.11</v>
      </c>
      <c r="H163" s="8" t="s">
        <v>59</v>
      </c>
      <c r="I163" s="3">
        <f t="shared" si="32"/>
        <v>3.75</v>
      </c>
      <c r="J163" s="11">
        <f t="shared" si="33"/>
        <v>25848.116910000001</v>
      </c>
      <c r="K163" s="11">
        <f t="shared" si="34"/>
        <v>24545.390165999997</v>
      </c>
      <c r="L163" s="11">
        <f t="shared" si="35"/>
        <v>23031.658385999999</v>
      </c>
      <c r="M163" s="11">
        <f t="shared" si="36"/>
        <v>21465.175347</v>
      </c>
      <c r="N163" s="11">
        <f t="shared" si="37"/>
        <v>19634.936012999999</v>
      </c>
      <c r="O163" s="11">
        <f t="shared" si="38"/>
        <v>19634.936012999999</v>
      </c>
      <c r="P163" s="11">
        <f t="shared" si="39"/>
        <v>28669.162499999999</v>
      </c>
      <c r="Q163" s="11">
        <f t="shared" si="40"/>
        <v>28669.162499999999</v>
      </c>
      <c r="R163" s="11">
        <f t="shared" si="41"/>
        <v>28669.162499999999</v>
      </c>
      <c r="S163" s="11">
        <f t="shared" si="42"/>
        <v>28669.162499999999</v>
      </c>
      <c r="T163" s="11">
        <f t="shared" si="43"/>
        <v>27689.823908999999</v>
      </c>
      <c r="U163" s="11">
        <f t="shared" si="44"/>
        <v>26820.574902</v>
      </c>
      <c r="V163" s="13">
        <f t="shared" si="45"/>
        <v>28669.162499999999</v>
      </c>
      <c r="X163" s="30"/>
    </row>
    <row r="164" spans="1:24" x14ac:dyDescent="0.25">
      <c r="A164" s="8">
        <v>162</v>
      </c>
      <c r="B164" s="8">
        <v>20.015499999999999</v>
      </c>
      <c r="C164" s="8">
        <v>85.062200000000004</v>
      </c>
      <c r="D164" s="8" t="s">
        <v>7</v>
      </c>
      <c r="E164" s="8" t="s">
        <v>93</v>
      </c>
      <c r="F164" s="8">
        <v>4</v>
      </c>
      <c r="G164" s="8">
        <v>11921.9</v>
      </c>
      <c r="H164" s="8" t="s">
        <v>59</v>
      </c>
      <c r="I164" s="3">
        <f t="shared" si="32"/>
        <v>3.75</v>
      </c>
      <c r="J164" s="11">
        <f t="shared" si="33"/>
        <v>40307.943899999998</v>
      </c>
      <c r="K164" s="11">
        <f t="shared" si="34"/>
        <v>38276.452140000001</v>
      </c>
      <c r="L164" s="11">
        <f t="shared" si="35"/>
        <v>35915.915939999999</v>
      </c>
      <c r="M164" s="11">
        <f t="shared" si="36"/>
        <v>33473.118629999997</v>
      </c>
      <c r="N164" s="11">
        <f t="shared" si="37"/>
        <v>30619.015769999998</v>
      </c>
      <c r="O164" s="11">
        <f t="shared" si="38"/>
        <v>30619.015769999998</v>
      </c>
      <c r="P164" s="11">
        <f t="shared" si="39"/>
        <v>44707.125</v>
      </c>
      <c r="Q164" s="11">
        <f t="shared" si="40"/>
        <v>44707.125</v>
      </c>
      <c r="R164" s="11">
        <f t="shared" si="41"/>
        <v>44707.125</v>
      </c>
      <c r="S164" s="11">
        <f t="shared" si="42"/>
        <v>44707.125</v>
      </c>
      <c r="T164" s="11">
        <f t="shared" si="43"/>
        <v>43179.929609999999</v>
      </c>
      <c r="U164" s="11">
        <f t="shared" si="44"/>
        <v>41824.40958</v>
      </c>
      <c r="V164" s="13">
        <f t="shared" si="45"/>
        <v>44707.125</v>
      </c>
      <c r="X164" s="30"/>
    </row>
    <row r="165" spans="1:24" x14ac:dyDescent="0.25">
      <c r="A165" s="8">
        <v>163</v>
      </c>
      <c r="B165" s="8">
        <v>20.017900000000001</v>
      </c>
      <c r="C165" s="8">
        <v>85.055800000000005</v>
      </c>
      <c r="D165" s="8" t="s">
        <v>7</v>
      </c>
      <c r="E165" s="8" t="s">
        <v>93</v>
      </c>
      <c r="F165" s="8">
        <v>3</v>
      </c>
      <c r="G165" s="8">
        <v>1628.98</v>
      </c>
      <c r="H165" s="8" t="s">
        <v>59</v>
      </c>
      <c r="I165" s="3">
        <f t="shared" si="32"/>
        <v>2.75</v>
      </c>
      <c r="J165" s="11">
        <f t="shared" si="33"/>
        <v>3878.6013800000005</v>
      </c>
      <c r="K165" s="11">
        <f t="shared" si="34"/>
        <v>3601.0231879999997</v>
      </c>
      <c r="L165" s="11">
        <f t="shared" si="35"/>
        <v>3278.4851479999998</v>
      </c>
      <c r="M165" s="11">
        <f t="shared" si="36"/>
        <v>2944.7071460000002</v>
      </c>
      <c r="N165" s="11">
        <f t="shared" si="37"/>
        <v>2554.7293340000001</v>
      </c>
      <c r="O165" s="11">
        <f t="shared" si="38"/>
        <v>2554.7293340000001</v>
      </c>
      <c r="P165" s="11">
        <f t="shared" si="39"/>
        <v>4479.6949999999997</v>
      </c>
      <c r="Q165" s="11">
        <f t="shared" si="40"/>
        <v>4479.6949999999997</v>
      </c>
      <c r="R165" s="11">
        <f t="shared" si="41"/>
        <v>4479.6949999999997</v>
      </c>
      <c r="S165" s="11">
        <f t="shared" si="42"/>
        <v>4479.6949999999997</v>
      </c>
      <c r="T165" s="11">
        <f t="shared" si="43"/>
        <v>4271.0226620000003</v>
      </c>
      <c r="U165" s="11">
        <f t="shared" si="44"/>
        <v>4085.807636</v>
      </c>
      <c r="V165" s="13">
        <f t="shared" si="45"/>
        <v>4479.6949999999997</v>
      </c>
      <c r="X165" s="30"/>
    </row>
    <row r="166" spans="1:24" x14ac:dyDescent="0.25">
      <c r="A166" s="8">
        <v>164</v>
      </c>
      <c r="B166" s="8">
        <v>20.018799999999999</v>
      </c>
      <c r="C166" s="8">
        <v>85.055999999999997</v>
      </c>
      <c r="D166" s="8" t="s">
        <v>7</v>
      </c>
      <c r="E166" s="8" t="s">
        <v>93</v>
      </c>
      <c r="F166" s="8">
        <v>3</v>
      </c>
      <c r="G166" s="8">
        <v>9209.61</v>
      </c>
      <c r="H166" s="8" t="s">
        <v>59</v>
      </c>
      <c r="I166" s="3">
        <f t="shared" si="32"/>
        <v>2.75</v>
      </c>
      <c r="J166" s="11">
        <f t="shared" si="33"/>
        <v>21928.081410000003</v>
      </c>
      <c r="K166" s="11">
        <f t="shared" si="34"/>
        <v>20358.763866000001</v>
      </c>
      <c r="L166" s="11">
        <f t="shared" si="35"/>
        <v>18535.261086000002</v>
      </c>
      <c r="M166" s="11">
        <f t="shared" si="36"/>
        <v>16648.211997000002</v>
      </c>
      <c r="N166" s="11">
        <f t="shared" si="37"/>
        <v>14443.431363000002</v>
      </c>
      <c r="O166" s="11">
        <f t="shared" si="38"/>
        <v>14443.431363000002</v>
      </c>
      <c r="P166" s="11">
        <f t="shared" si="39"/>
        <v>25326.427500000002</v>
      </c>
      <c r="Q166" s="11">
        <f t="shared" si="40"/>
        <v>25326.427500000002</v>
      </c>
      <c r="R166" s="11">
        <f t="shared" si="41"/>
        <v>25326.427500000002</v>
      </c>
      <c r="S166" s="11">
        <f t="shared" si="42"/>
        <v>25326.427500000002</v>
      </c>
      <c r="T166" s="11">
        <f t="shared" si="43"/>
        <v>24146.676459000002</v>
      </c>
      <c r="U166" s="11">
        <f t="shared" si="44"/>
        <v>23099.543802</v>
      </c>
      <c r="V166" s="13">
        <f t="shared" si="45"/>
        <v>25326.427500000002</v>
      </c>
      <c r="X166" s="30"/>
    </row>
    <row r="167" spans="1:24" x14ac:dyDescent="0.25">
      <c r="A167" s="8">
        <v>165</v>
      </c>
      <c r="B167" s="8">
        <v>20.0197</v>
      </c>
      <c r="C167" s="8">
        <v>85.056100000000001</v>
      </c>
      <c r="D167" s="8" t="s">
        <v>7</v>
      </c>
      <c r="E167" s="8" t="s">
        <v>93</v>
      </c>
      <c r="F167" s="8">
        <v>3</v>
      </c>
      <c r="G167" s="8">
        <v>4443.33</v>
      </c>
      <c r="H167" s="8" t="s">
        <v>59</v>
      </c>
      <c r="I167" s="3">
        <f t="shared" si="32"/>
        <v>2.75</v>
      </c>
      <c r="J167" s="11">
        <f t="shared" si="33"/>
        <v>10579.568730000001</v>
      </c>
      <c r="K167" s="11">
        <f t="shared" si="34"/>
        <v>9822.4252980000001</v>
      </c>
      <c r="L167" s="11">
        <f t="shared" si="35"/>
        <v>8942.6459579999992</v>
      </c>
      <c r="M167" s="11">
        <f t="shared" si="36"/>
        <v>8032.207641</v>
      </c>
      <c r="N167" s="11">
        <f t="shared" si="37"/>
        <v>6968.4744389999996</v>
      </c>
      <c r="O167" s="11">
        <f t="shared" si="38"/>
        <v>6968.4744389999996</v>
      </c>
      <c r="P167" s="11">
        <f t="shared" si="39"/>
        <v>12219.157499999999</v>
      </c>
      <c r="Q167" s="11">
        <f t="shared" si="40"/>
        <v>12219.157499999999</v>
      </c>
      <c r="R167" s="11">
        <f t="shared" si="41"/>
        <v>12219.157499999999</v>
      </c>
      <c r="S167" s="11">
        <f t="shared" si="42"/>
        <v>12219.157499999999</v>
      </c>
      <c r="T167" s="11">
        <f t="shared" si="43"/>
        <v>11649.966926999999</v>
      </c>
      <c r="U167" s="11">
        <f t="shared" si="44"/>
        <v>11144.760306</v>
      </c>
      <c r="V167" s="13">
        <f t="shared" si="45"/>
        <v>12219.157499999999</v>
      </c>
      <c r="X167" s="30"/>
    </row>
    <row r="168" spans="1:24" x14ac:dyDescent="0.25">
      <c r="A168" s="8">
        <v>166</v>
      </c>
      <c r="B168" s="8">
        <v>20.020199999999999</v>
      </c>
      <c r="C168" s="8">
        <v>85.0535</v>
      </c>
      <c r="D168" s="8" t="s">
        <v>7</v>
      </c>
      <c r="E168" s="8" t="s">
        <v>93</v>
      </c>
      <c r="F168" s="8">
        <v>3</v>
      </c>
      <c r="G168" s="8">
        <v>5129.92</v>
      </c>
      <c r="H168" s="8" t="s">
        <v>59</v>
      </c>
      <c r="I168" s="3">
        <f t="shared" si="32"/>
        <v>2.75</v>
      </c>
      <c r="J168" s="11">
        <f t="shared" si="33"/>
        <v>12214.339520000001</v>
      </c>
      <c r="K168" s="11">
        <f t="shared" si="34"/>
        <v>11340.201152</v>
      </c>
      <c r="L168" s="11">
        <f t="shared" si="35"/>
        <v>10324.476992</v>
      </c>
      <c r="M168" s="11">
        <f t="shared" si="36"/>
        <v>9273.3563840000006</v>
      </c>
      <c r="N168" s="11">
        <f t="shared" si="37"/>
        <v>8045.2535360000002</v>
      </c>
      <c r="O168" s="11">
        <f t="shared" si="38"/>
        <v>8045.2535360000002</v>
      </c>
      <c r="P168" s="11">
        <f t="shared" si="39"/>
        <v>14107.28</v>
      </c>
      <c r="Q168" s="11">
        <f t="shared" si="40"/>
        <v>14107.28</v>
      </c>
      <c r="R168" s="11">
        <f t="shared" si="41"/>
        <v>14107.28</v>
      </c>
      <c r="S168" s="11">
        <f t="shared" si="42"/>
        <v>14107.28</v>
      </c>
      <c r="T168" s="11">
        <f t="shared" si="43"/>
        <v>13450.137248000001</v>
      </c>
      <c r="U168" s="11">
        <f t="shared" si="44"/>
        <v>12866.865344</v>
      </c>
      <c r="V168" s="13">
        <f t="shared" si="45"/>
        <v>14107.28</v>
      </c>
      <c r="X168" s="30"/>
    </row>
    <row r="169" spans="1:24" x14ac:dyDescent="0.25">
      <c r="A169" s="8">
        <v>167</v>
      </c>
      <c r="B169" s="8">
        <v>20.020099999999999</v>
      </c>
      <c r="C169" s="8">
        <v>85.0595</v>
      </c>
      <c r="D169" s="8" t="s">
        <v>7</v>
      </c>
      <c r="E169" s="8" t="s">
        <v>93</v>
      </c>
      <c r="F169" s="8">
        <v>2</v>
      </c>
      <c r="G169" s="8">
        <v>1205.73</v>
      </c>
      <c r="H169" s="8" t="s">
        <v>59</v>
      </c>
      <c r="I169" s="3">
        <f t="shared" si="32"/>
        <v>1.75</v>
      </c>
      <c r="J169" s="11">
        <f t="shared" si="33"/>
        <v>1665.11313</v>
      </c>
      <c r="K169" s="11">
        <f t="shared" si="34"/>
        <v>1459.6567379999999</v>
      </c>
      <c r="L169" s="11">
        <f t="shared" si="35"/>
        <v>1220.922198</v>
      </c>
      <c r="M169" s="11">
        <f t="shared" si="36"/>
        <v>973.86812099999997</v>
      </c>
      <c r="N169" s="11">
        <f t="shared" si="37"/>
        <v>685.21635900000001</v>
      </c>
      <c r="O169" s="11">
        <f t="shared" si="38"/>
        <v>685.21635900000001</v>
      </c>
      <c r="P169" s="11">
        <f t="shared" si="39"/>
        <v>2110.0275000000001</v>
      </c>
      <c r="Q169" s="11">
        <f t="shared" si="40"/>
        <v>2110.0275000000001</v>
      </c>
      <c r="R169" s="11">
        <f t="shared" si="41"/>
        <v>2110.0275000000001</v>
      </c>
      <c r="S169" s="11">
        <f t="shared" si="42"/>
        <v>2110.0275000000001</v>
      </c>
      <c r="T169" s="11">
        <f t="shared" si="43"/>
        <v>1955.5734870000001</v>
      </c>
      <c r="U169" s="11">
        <f t="shared" si="44"/>
        <v>1818.481986</v>
      </c>
      <c r="V169" s="13">
        <f t="shared" si="45"/>
        <v>2110.0275000000001</v>
      </c>
      <c r="X169" s="30"/>
    </row>
    <row r="170" spans="1:24" x14ac:dyDescent="0.25">
      <c r="A170" s="8">
        <v>168</v>
      </c>
      <c r="B170" s="8">
        <v>20.023900000000001</v>
      </c>
      <c r="C170" s="8">
        <v>85.049300000000002</v>
      </c>
      <c r="D170" s="8" t="s">
        <v>7</v>
      </c>
      <c r="E170" s="8" t="s">
        <v>93</v>
      </c>
      <c r="F170" s="8">
        <v>3</v>
      </c>
      <c r="G170" s="8">
        <v>1916.72</v>
      </c>
      <c r="H170" s="8" t="s">
        <v>59</v>
      </c>
      <c r="I170" s="3">
        <f t="shared" si="32"/>
        <v>2.75</v>
      </c>
      <c r="J170" s="11">
        <f t="shared" si="33"/>
        <v>4563.7103200000001</v>
      </c>
      <c r="K170" s="11">
        <f t="shared" si="34"/>
        <v>4237.101232</v>
      </c>
      <c r="L170" s="11">
        <f t="shared" si="35"/>
        <v>3857.5906719999998</v>
      </c>
      <c r="M170" s="11">
        <f t="shared" si="36"/>
        <v>3464.8547440000002</v>
      </c>
      <c r="N170" s="11">
        <f t="shared" si="37"/>
        <v>3005.9919760000002</v>
      </c>
      <c r="O170" s="11">
        <f t="shared" si="38"/>
        <v>3005.9919760000002</v>
      </c>
      <c r="P170" s="11">
        <f t="shared" si="39"/>
        <v>5270.9800000000005</v>
      </c>
      <c r="Q170" s="11">
        <f t="shared" si="40"/>
        <v>5270.9800000000005</v>
      </c>
      <c r="R170" s="11">
        <f t="shared" si="41"/>
        <v>5270.9800000000005</v>
      </c>
      <c r="S170" s="11">
        <f t="shared" si="42"/>
        <v>5270.9800000000005</v>
      </c>
      <c r="T170" s="11">
        <f t="shared" si="43"/>
        <v>5025.4481679999999</v>
      </c>
      <c r="U170" s="11">
        <f t="shared" si="44"/>
        <v>4807.5171040000005</v>
      </c>
      <c r="V170" s="13">
        <f t="shared" si="45"/>
        <v>5270.9800000000005</v>
      </c>
      <c r="X170" s="30"/>
    </row>
    <row r="171" spans="1:24" x14ac:dyDescent="0.25">
      <c r="A171" s="8">
        <v>169</v>
      </c>
      <c r="B171" s="8">
        <v>20.025200000000002</v>
      </c>
      <c r="C171" s="8">
        <v>85.047300000000007</v>
      </c>
      <c r="D171" s="8" t="s">
        <v>7</v>
      </c>
      <c r="E171" s="8" t="s">
        <v>93</v>
      </c>
      <c r="F171" s="8">
        <v>3.5</v>
      </c>
      <c r="G171" s="8">
        <v>3287.36</v>
      </c>
      <c r="H171" s="8" t="s">
        <v>59</v>
      </c>
      <c r="I171" s="3">
        <f t="shared" si="32"/>
        <v>3.25</v>
      </c>
      <c r="J171" s="11">
        <f t="shared" si="33"/>
        <v>9470.8841600000014</v>
      </c>
      <c r="K171" s="11">
        <f t="shared" si="34"/>
        <v>8910.7180160000007</v>
      </c>
      <c r="L171" s="11">
        <f t="shared" si="35"/>
        <v>8259.8207359999997</v>
      </c>
      <c r="M171" s="11">
        <f t="shared" si="36"/>
        <v>7586.2406720000008</v>
      </c>
      <c r="N171" s="11">
        <f t="shared" si="37"/>
        <v>6799.2466879999993</v>
      </c>
      <c r="O171" s="11">
        <f t="shared" si="38"/>
        <v>6799.2466879999993</v>
      </c>
      <c r="P171" s="11">
        <f t="shared" si="39"/>
        <v>10683.92</v>
      </c>
      <c r="Q171" s="11">
        <f t="shared" si="40"/>
        <v>10683.92</v>
      </c>
      <c r="R171" s="11">
        <f t="shared" si="41"/>
        <v>10683.92</v>
      </c>
      <c r="S171" s="11">
        <f t="shared" si="42"/>
        <v>10683.92</v>
      </c>
      <c r="T171" s="11">
        <f t="shared" si="43"/>
        <v>10262.809184000002</v>
      </c>
      <c r="U171" s="11">
        <f t="shared" si="44"/>
        <v>9889.036352000001</v>
      </c>
      <c r="V171" s="13">
        <f t="shared" si="45"/>
        <v>10683.92</v>
      </c>
      <c r="X171" s="30"/>
    </row>
    <row r="172" spans="1:24" x14ac:dyDescent="0.25">
      <c r="A172" s="8">
        <v>170</v>
      </c>
      <c r="B172" s="8">
        <v>20.0259</v>
      </c>
      <c r="C172" s="8">
        <v>85.047300000000007</v>
      </c>
      <c r="D172" s="8" t="s">
        <v>7</v>
      </c>
      <c r="E172" s="8" t="s">
        <v>93</v>
      </c>
      <c r="F172" s="8">
        <v>4</v>
      </c>
      <c r="G172" s="8">
        <v>2144.63</v>
      </c>
      <c r="H172" s="8" t="s">
        <v>59</v>
      </c>
      <c r="I172" s="3">
        <f t="shared" si="32"/>
        <v>3.75</v>
      </c>
      <c r="J172" s="11">
        <f t="shared" si="33"/>
        <v>7250.9940300000007</v>
      </c>
      <c r="K172" s="11">
        <f t="shared" si="34"/>
        <v>6885.549078</v>
      </c>
      <c r="L172" s="11">
        <f t="shared" si="35"/>
        <v>6460.9123380000001</v>
      </c>
      <c r="M172" s="11">
        <f t="shared" si="36"/>
        <v>6021.4776510000002</v>
      </c>
      <c r="N172" s="11">
        <f t="shared" si="37"/>
        <v>5508.0532290000001</v>
      </c>
      <c r="O172" s="11">
        <f t="shared" si="38"/>
        <v>5508.0532290000001</v>
      </c>
      <c r="P172" s="11">
        <f t="shared" si="39"/>
        <v>8042.3625000000002</v>
      </c>
      <c r="Q172" s="11">
        <f t="shared" si="40"/>
        <v>8042.3625000000002</v>
      </c>
      <c r="R172" s="11">
        <f t="shared" si="41"/>
        <v>8042.3625000000002</v>
      </c>
      <c r="S172" s="11">
        <f t="shared" si="42"/>
        <v>8042.3625000000002</v>
      </c>
      <c r="T172" s="11">
        <f t="shared" si="43"/>
        <v>7767.6353970000009</v>
      </c>
      <c r="U172" s="11">
        <f t="shared" si="44"/>
        <v>7523.7909660000005</v>
      </c>
      <c r="V172" s="13">
        <f t="shared" si="45"/>
        <v>8042.3625000000002</v>
      </c>
      <c r="X172" s="30"/>
    </row>
    <row r="173" spans="1:24" x14ac:dyDescent="0.25">
      <c r="A173" s="8">
        <v>171</v>
      </c>
      <c r="B173" s="8">
        <v>20.026299999999999</v>
      </c>
      <c r="C173" s="8">
        <v>85.048100000000005</v>
      </c>
      <c r="D173" s="8" t="s">
        <v>7</v>
      </c>
      <c r="E173" s="8" t="s">
        <v>93</v>
      </c>
      <c r="F173" s="8">
        <v>4</v>
      </c>
      <c r="G173" s="8">
        <v>1260.23</v>
      </c>
      <c r="H173" s="8" t="s">
        <v>59</v>
      </c>
      <c r="I173" s="3">
        <f t="shared" si="32"/>
        <v>3.75</v>
      </c>
      <c r="J173" s="11">
        <f t="shared" si="33"/>
        <v>4260.83763</v>
      </c>
      <c r="K173" s="11">
        <f t="shared" si="34"/>
        <v>4046.0944380000001</v>
      </c>
      <c r="L173" s="11">
        <f t="shared" si="35"/>
        <v>3796.568898</v>
      </c>
      <c r="M173" s="11">
        <f t="shared" si="36"/>
        <v>3538.3477710000002</v>
      </c>
      <c r="N173" s="11">
        <f t="shared" si="37"/>
        <v>3236.6487089999996</v>
      </c>
      <c r="O173" s="11">
        <f t="shared" si="38"/>
        <v>3236.6487089999996</v>
      </c>
      <c r="P173" s="11">
        <f t="shared" si="39"/>
        <v>4725.8625000000002</v>
      </c>
      <c r="Q173" s="11">
        <f t="shared" si="40"/>
        <v>4725.8625000000002</v>
      </c>
      <c r="R173" s="11">
        <f t="shared" si="41"/>
        <v>4725.8625000000002</v>
      </c>
      <c r="S173" s="11">
        <f t="shared" si="42"/>
        <v>4725.8625000000002</v>
      </c>
      <c r="T173" s="11">
        <f t="shared" si="43"/>
        <v>4564.4270370000004</v>
      </c>
      <c r="U173" s="11">
        <f t="shared" si="44"/>
        <v>4421.1388859999997</v>
      </c>
      <c r="V173" s="13">
        <f t="shared" si="45"/>
        <v>4725.8625000000002</v>
      </c>
      <c r="X173" s="30"/>
    </row>
    <row r="174" spans="1:24" x14ac:dyDescent="0.25">
      <c r="A174" s="8">
        <v>172</v>
      </c>
      <c r="B174" s="8">
        <v>20.029699999999998</v>
      </c>
      <c r="C174" s="8">
        <v>85.049000000000007</v>
      </c>
      <c r="D174" s="8" t="s">
        <v>7</v>
      </c>
      <c r="E174" s="8" t="s">
        <v>93</v>
      </c>
      <c r="F174" s="8">
        <v>2</v>
      </c>
      <c r="G174" s="8">
        <v>412.47</v>
      </c>
      <c r="H174" s="8" t="s">
        <v>59</v>
      </c>
      <c r="I174" s="3">
        <f t="shared" si="32"/>
        <v>1.75</v>
      </c>
      <c r="J174" s="11">
        <f t="shared" si="33"/>
        <v>569.62107000000003</v>
      </c>
      <c r="K174" s="11">
        <f t="shared" si="34"/>
        <v>499.33618200000001</v>
      </c>
      <c r="L174" s="11">
        <f t="shared" si="35"/>
        <v>417.66712200000001</v>
      </c>
      <c r="M174" s="11">
        <f t="shared" si="36"/>
        <v>333.152019</v>
      </c>
      <c r="N174" s="11">
        <f t="shared" si="37"/>
        <v>234.40670100000003</v>
      </c>
      <c r="O174" s="11">
        <f t="shared" si="38"/>
        <v>234.40670100000003</v>
      </c>
      <c r="P174" s="11">
        <f t="shared" si="39"/>
        <v>721.82249999999999</v>
      </c>
      <c r="Q174" s="11">
        <f t="shared" si="40"/>
        <v>721.82249999999999</v>
      </c>
      <c r="R174" s="11">
        <f t="shared" si="41"/>
        <v>721.82249999999999</v>
      </c>
      <c r="S174" s="11">
        <f t="shared" si="42"/>
        <v>721.82249999999999</v>
      </c>
      <c r="T174" s="11">
        <f t="shared" si="43"/>
        <v>668.98509300000012</v>
      </c>
      <c r="U174" s="11">
        <f t="shared" si="44"/>
        <v>622.08725400000003</v>
      </c>
      <c r="V174" s="13">
        <f t="shared" si="45"/>
        <v>721.82249999999999</v>
      </c>
      <c r="X174" s="30"/>
    </row>
    <row r="175" spans="1:24" x14ac:dyDescent="0.25">
      <c r="A175" s="8">
        <v>173</v>
      </c>
      <c r="B175" s="8">
        <v>20.017700000000001</v>
      </c>
      <c r="C175" s="8">
        <v>85.045100000000005</v>
      </c>
      <c r="D175" s="8" t="s">
        <v>7</v>
      </c>
      <c r="E175" s="8" t="s">
        <v>93</v>
      </c>
      <c r="F175" s="8">
        <v>2.5</v>
      </c>
      <c r="G175" s="8">
        <v>3598.68</v>
      </c>
      <c r="H175" s="8" t="s">
        <v>59</v>
      </c>
      <c r="I175" s="3">
        <f t="shared" si="32"/>
        <v>2.25</v>
      </c>
      <c r="J175" s="11">
        <f t="shared" si="33"/>
        <v>6769.11708</v>
      </c>
      <c r="K175" s="11">
        <f t="shared" si="34"/>
        <v>6155.9020079999991</v>
      </c>
      <c r="L175" s="11">
        <f t="shared" si="35"/>
        <v>5443.3633679999994</v>
      </c>
      <c r="M175" s="11">
        <f t="shared" si="36"/>
        <v>4705.9938359999996</v>
      </c>
      <c r="N175" s="11">
        <f t="shared" si="37"/>
        <v>3844.4698439999997</v>
      </c>
      <c r="O175" s="11">
        <f t="shared" si="38"/>
        <v>3844.4698439999997</v>
      </c>
      <c r="P175" s="11">
        <f t="shared" si="39"/>
        <v>8097.03</v>
      </c>
      <c r="Q175" s="11">
        <f t="shared" si="40"/>
        <v>8097.03</v>
      </c>
      <c r="R175" s="11">
        <f t="shared" si="41"/>
        <v>8097.03</v>
      </c>
      <c r="S175" s="11">
        <f t="shared" si="42"/>
        <v>8097.03</v>
      </c>
      <c r="T175" s="11">
        <f t="shared" si="43"/>
        <v>7636.039092</v>
      </c>
      <c r="U175" s="11">
        <f t="shared" si="44"/>
        <v>7226.8691759999992</v>
      </c>
      <c r="V175" s="13">
        <f t="shared" si="45"/>
        <v>8097.03</v>
      </c>
      <c r="X175" s="30"/>
    </row>
    <row r="176" spans="1:24" x14ac:dyDescent="0.25">
      <c r="A176" s="8">
        <v>174</v>
      </c>
      <c r="B176" s="8">
        <v>20.027799999999999</v>
      </c>
      <c r="C176" s="8">
        <v>85.063199999999995</v>
      </c>
      <c r="D176" s="8" t="s">
        <v>7</v>
      </c>
      <c r="E176" s="8" t="s">
        <v>93</v>
      </c>
      <c r="F176" s="8">
        <v>2</v>
      </c>
      <c r="G176" s="8">
        <v>30168.26</v>
      </c>
      <c r="H176" s="8" t="s">
        <v>54</v>
      </c>
      <c r="I176" s="3">
        <f t="shared" si="32"/>
        <v>1.75</v>
      </c>
      <c r="J176" s="11">
        <f t="shared" si="33"/>
        <v>41662.367059999997</v>
      </c>
      <c r="K176" s="11">
        <f t="shared" si="34"/>
        <v>36521.695555999991</v>
      </c>
      <c r="L176" s="11">
        <f t="shared" si="35"/>
        <v>30548.380075999998</v>
      </c>
      <c r="M176" s="11">
        <f t="shared" si="36"/>
        <v>24366.903601999999</v>
      </c>
      <c r="N176" s="11">
        <f t="shared" si="37"/>
        <v>17144.622157999998</v>
      </c>
      <c r="O176" s="11">
        <f t="shared" si="38"/>
        <v>17144.622157999998</v>
      </c>
      <c r="P176" s="11">
        <f t="shared" si="39"/>
        <v>52794.454999999994</v>
      </c>
      <c r="Q176" s="11">
        <f t="shared" si="40"/>
        <v>52794.454999999994</v>
      </c>
      <c r="R176" s="11">
        <f t="shared" si="41"/>
        <v>52794.454999999994</v>
      </c>
      <c r="S176" s="11">
        <f t="shared" si="42"/>
        <v>52794.454999999994</v>
      </c>
      <c r="T176" s="11">
        <f t="shared" si="43"/>
        <v>48929.900893999999</v>
      </c>
      <c r="U176" s="11">
        <f t="shared" si="44"/>
        <v>45499.769732000001</v>
      </c>
      <c r="V176" s="13">
        <f t="shared" si="45"/>
        <v>52794.454999999994</v>
      </c>
      <c r="X176" s="30"/>
    </row>
    <row r="177" spans="1:24" x14ac:dyDescent="0.25">
      <c r="A177" s="8">
        <v>175</v>
      </c>
      <c r="B177" s="8">
        <v>20.0304</v>
      </c>
      <c r="C177" s="8">
        <v>85.055599999999998</v>
      </c>
      <c r="D177" s="8" t="s">
        <v>7</v>
      </c>
      <c r="E177" s="8" t="s">
        <v>93</v>
      </c>
      <c r="F177" s="8">
        <v>2</v>
      </c>
      <c r="G177" s="8">
        <v>532.88</v>
      </c>
      <c r="H177" s="8" t="s">
        <v>54</v>
      </c>
      <c r="I177" s="3">
        <f t="shared" si="32"/>
        <v>1.75</v>
      </c>
      <c r="J177" s="11">
        <f t="shared" si="33"/>
        <v>735.90728000000001</v>
      </c>
      <c r="K177" s="11">
        <f t="shared" si="34"/>
        <v>645.10452799999996</v>
      </c>
      <c r="L177" s="11">
        <f t="shared" si="35"/>
        <v>539.59428800000001</v>
      </c>
      <c r="M177" s="11">
        <f t="shared" si="36"/>
        <v>430.40717599999999</v>
      </c>
      <c r="N177" s="11">
        <f t="shared" si="37"/>
        <v>302.83570400000002</v>
      </c>
      <c r="O177" s="11">
        <f t="shared" si="38"/>
        <v>302.83570400000002</v>
      </c>
      <c r="P177" s="11">
        <f t="shared" si="39"/>
        <v>932.54</v>
      </c>
      <c r="Q177" s="11">
        <f t="shared" si="40"/>
        <v>932.54</v>
      </c>
      <c r="R177" s="11">
        <f t="shared" si="41"/>
        <v>932.54</v>
      </c>
      <c r="S177" s="11">
        <f t="shared" si="42"/>
        <v>932.54</v>
      </c>
      <c r="T177" s="11">
        <f t="shared" si="43"/>
        <v>864.27807200000007</v>
      </c>
      <c r="U177" s="11">
        <f t="shared" si="44"/>
        <v>803.689616</v>
      </c>
      <c r="V177" s="13">
        <f t="shared" si="45"/>
        <v>932.54</v>
      </c>
      <c r="X177" s="30"/>
    </row>
    <row r="178" spans="1:24" x14ac:dyDescent="0.25">
      <c r="A178" s="8">
        <v>176</v>
      </c>
      <c r="B178" s="8">
        <v>20.033200000000001</v>
      </c>
      <c r="C178" s="8">
        <v>85.051100000000005</v>
      </c>
      <c r="D178" s="8" t="s">
        <v>7</v>
      </c>
      <c r="E178" s="8" t="s">
        <v>93</v>
      </c>
      <c r="F178" s="8">
        <v>2</v>
      </c>
      <c r="G178" s="8">
        <v>1864.37</v>
      </c>
      <c r="H178" s="8" t="s">
        <v>54</v>
      </c>
      <c r="I178" s="3">
        <f t="shared" si="32"/>
        <v>1.75</v>
      </c>
      <c r="J178" s="11">
        <f t="shared" si="33"/>
        <v>2574.69497</v>
      </c>
      <c r="K178" s="11">
        <f t="shared" si="34"/>
        <v>2257.0063219999997</v>
      </c>
      <c r="L178" s="11">
        <f t="shared" si="35"/>
        <v>1887.8610619999997</v>
      </c>
      <c r="M178" s="11">
        <f t="shared" si="36"/>
        <v>1505.851649</v>
      </c>
      <c r="N178" s="11">
        <f t="shared" si="37"/>
        <v>1059.521471</v>
      </c>
      <c r="O178" s="11">
        <f t="shared" si="38"/>
        <v>1059.521471</v>
      </c>
      <c r="P178" s="11">
        <f t="shared" si="39"/>
        <v>3262.6475</v>
      </c>
      <c r="Q178" s="11">
        <f t="shared" si="40"/>
        <v>3262.6475</v>
      </c>
      <c r="R178" s="11">
        <f t="shared" si="41"/>
        <v>3262.6475</v>
      </c>
      <c r="S178" s="11">
        <f t="shared" si="42"/>
        <v>3262.6475</v>
      </c>
      <c r="T178" s="11">
        <f t="shared" si="43"/>
        <v>3023.8217030000001</v>
      </c>
      <c r="U178" s="11">
        <f t="shared" si="44"/>
        <v>2811.8428339999996</v>
      </c>
      <c r="V178" s="13">
        <f t="shared" si="45"/>
        <v>3262.6475</v>
      </c>
      <c r="X178" s="30"/>
    </row>
    <row r="179" spans="1:24" x14ac:dyDescent="0.25">
      <c r="A179" s="8">
        <v>177</v>
      </c>
      <c r="B179" s="8">
        <v>20.033300000000001</v>
      </c>
      <c r="C179" s="8">
        <v>85.0488</v>
      </c>
      <c r="D179" s="8" t="s">
        <v>7</v>
      </c>
      <c r="E179" s="8" t="s">
        <v>93</v>
      </c>
      <c r="F179" s="8">
        <v>2</v>
      </c>
      <c r="G179" s="8">
        <v>1053.96</v>
      </c>
      <c r="H179" s="8" t="s">
        <v>54</v>
      </c>
      <c r="I179" s="3">
        <f t="shared" si="32"/>
        <v>1.75</v>
      </c>
      <c r="J179" s="11">
        <f t="shared" si="33"/>
        <v>1455.5187600000002</v>
      </c>
      <c r="K179" s="11">
        <f t="shared" si="34"/>
        <v>1275.923976</v>
      </c>
      <c r="L179" s="11">
        <f t="shared" si="35"/>
        <v>1067.239896</v>
      </c>
      <c r="M179" s="11">
        <f t="shared" si="36"/>
        <v>851.28349200000002</v>
      </c>
      <c r="N179" s="11">
        <f t="shared" si="37"/>
        <v>598.9654680000001</v>
      </c>
      <c r="O179" s="11">
        <f t="shared" si="38"/>
        <v>598.9654680000001</v>
      </c>
      <c r="P179" s="11">
        <f t="shared" si="39"/>
        <v>1844.43</v>
      </c>
      <c r="Q179" s="11">
        <f t="shared" si="40"/>
        <v>1844.43</v>
      </c>
      <c r="R179" s="11">
        <f t="shared" si="41"/>
        <v>1844.43</v>
      </c>
      <c r="S179" s="11">
        <f t="shared" si="42"/>
        <v>1844.43</v>
      </c>
      <c r="T179" s="11">
        <f t="shared" si="43"/>
        <v>1709.4177240000001</v>
      </c>
      <c r="U179" s="11">
        <f t="shared" si="44"/>
        <v>1589.5824720000001</v>
      </c>
      <c r="V179" s="13">
        <f t="shared" si="45"/>
        <v>1844.43</v>
      </c>
      <c r="X179" s="30"/>
    </row>
    <row r="180" spans="1:24" x14ac:dyDescent="0.25">
      <c r="A180" s="8">
        <v>178</v>
      </c>
      <c r="B180" s="8">
        <v>20.034800000000001</v>
      </c>
      <c r="C180" s="8">
        <v>85.051199999999994</v>
      </c>
      <c r="D180" s="8" t="s">
        <v>7</v>
      </c>
      <c r="E180" s="8" t="s">
        <v>93</v>
      </c>
      <c r="F180" s="8">
        <v>3.6</v>
      </c>
      <c r="G180" s="8">
        <v>5408.82</v>
      </c>
      <c r="H180" s="8" t="s">
        <v>54</v>
      </c>
      <c r="I180" s="3">
        <f t="shared" si="32"/>
        <v>3.35</v>
      </c>
      <c r="J180" s="11">
        <f t="shared" si="33"/>
        <v>16123.692419999998</v>
      </c>
      <c r="K180" s="11">
        <f t="shared" si="34"/>
        <v>15202.029492</v>
      </c>
      <c r="L180" s="11">
        <f t="shared" si="35"/>
        <v>14131.083132</v>
      </c>
      <c r="M180" s="11">
        <f t="shared" si="36"/>
        <v>13022.815914000001</v>
      </c>
      <c r="N180" s="11">
        <f t="shared" si="37"/>
        <v>11727.944406000001</v>
      </c>
      <c r="O180" s="11">
        <f t="shared" si="38"/>
        <v>11727.944406000001</v>
      </c>
      <c r="P180" s="11">
        <f t="shared" si="39"/>
        <v>18119.546999999999</v>
      </c>
      <c r="Q180" s="11">
        <f t="shared" si="40"/>
        <v>18119.546999999999</v>
      </c>
      <c r="R180" s="11">
        <f t="shared" si="41"/>
        <v>18119.546999999999</v>
      </c>
      <c r="S180" s="11">
        <f t="shared" si="42"/>
        <v>18119.546999999999</v>
      </c>
      <c r="T180" s="11">
        <f t="shared" si="43"/>
        <v>17426.677157999999</v>
      </c>
      <c r="U180" s="11">
        <f t="shared" si="44"/>
        <v>16811.694324</v>
      </c>
      <c r="V180" s="13">
        <f t="shared" si="45"/>
        <v>18119.546999999999</v>
      </c>
      <c r="X180" s="30"/>
    </row>
    <row r="181" spans="1:24" x14ac:dyDescent="0.25">
      <c r="A181" s="8">
        <v>179</v>
      </c>
      <c r="B181" s="8">
        <v>20.025400000000001</v>
      </c>
      <c r="C181" s="8">
        <v>85.071700000000007</v>
      </c>
      <c r="D181" s="8" t="s">
        <v>7</v>
      </c>
      <c r="E181" s="8" t="s">
        <v>93</v>
      </c>
      <c r="F181" s="8">
        <v>2</v>
      </c>
      <c r="G181" s="8">
        <v>1341.21</v>
      </c>
      <c r="H181" s="8" t="s">
        <v>54</v>
      </c>
      <c r="I181" s="3">
        <f t="shared" si="32"/>
        <v>1.75</v>
      </c>
      <c r="J181" s="11">
        <f t="shared" si="33"/>
        <v>1852.21101</v>
      </c>
      <c r="K181" s="11">
        <f t="shared" si="34"/>
        <v>1623.6688259999999</v>
      </c>
      <c r="L181" s="11">
        <f t="shared" si="35"/>
        <v>1358.109246</v>
      </c>
      <c r="M181" s="11">
        <f t="shared" si="36"/>
        <v>1083.2953170000001</v>
      </c>
      <c r="N181" s="11">
        <f t="shared" si="37"/>
        <v>762.20964300000003</v>
      </c>
      <c r="O181" s="11">
        <f t="shared" si="38"/>
        <v>762.20964300000003</v>
      </c>
      <c r="P181" s="11">
        <f t="shared" si="39"/>
        <v>2347.1175000000003</v>
      </c>
      <c r="Q181" s="11">
        <f t="shared" si="40"/>
        <v>2347.1175000000003</v>
      </c>
      <c r="R181" s="11">
        <f t="shared" si="41"/>
        <v>2347.1175000000003</v>
      </c>
      <c r="S181" s="11">
        <f t="shared" si="42"/>
        <v>2347.1175000000003</v>
      </c>
      <c r="T181" s="11">
        <f t="shared" si="43"/>
        <v>2175.3084990000002</v>
      </c>
      <c r="U181" s="11">
        <f t="shared" si="44"/>
        <v>2022.8129220000001</v>
      </c>
      <c r="V181" s="13">
        <f t="shared" si="45"/>
        <v>2347.1175000000003</v>
      </c>
      <c r="X181" s="30"/>
    </row>
    <row r="182" spans="1:24" x14ac:dyDescent="0.25">
      <c r="A182" s="8">
        <v>180</v>
      </c>
      <c r="B182" s="8">
        <v>20.024999999999999</v>
      </c>
      <c r="C182" s="8">
        <v>85.070899999999995</v>
      </c>
      <c r="D182" s="8" t="s">
        <v>7</v>
      </c>
      <c r="E182" s="8" t="s">
        <v>93</v>
      </c>
      <c r="F182" s="8">
        <v>2</v>
      </c>
      <c r="G182" s="8">
        <v>872.79</v>
      </c>
      <c r="H182" s="8" t="s">
        <v>54</v>
      </c>
      <c r="I182" s="3">
        <f t="shared" si="32"/>
        <v>1.75</v>
      </c>
      <c r="J182" s="11">
        <f t="shared" si="33"/>
        <v>1205.3229899999999</v>
      </c>
      <c r="K182" s="11">
        <f t="shared" si="34"/>
        <v>1056.5995739999998</v>
      </c>
      <c r="L182" s="11">
        <f t="shared" si="35"/>
        <v>883.78715399999987</v>
      </c>
      <c r="M182" s="11">
        <f t="shared" si="36"/>
        <v>704.95248299999992</v>
      </c>
      <c r="N182" s="11">
        <f t="shared" si="37"/>
        <v>496.00655699999999</v>
      </c>
      <c r="O182" s="11">
        <f t="shared" si="38"/>
        <v>496.00655699999999</v>
      </c>
      <c r="P182" s="11">
        <f t="shared" si="39"/>
        <v>1527.3824999999999</v>
      </c>
      <c r="Q182" s="11">
        <f t="shared" si="40"/>
        <v>1527.3824999999999</v>
      </c>
      <c r="R182" s="11">
        <f t="shared" si="41"/>
        <v>1527.3824999999999</v>
      </c>
      <c r="S182" s="11">
        <f t="shared" si="42"/>
        <v>1527.3824999999999</v>
      </c>
      <c r="T182" s="11">
        <f t="shared" si="43"/>
        <v>1415.5781010000001</v>
      </c>
      <c r="U182" s="11">
        <f t="shared" si="44"/>
        <v>1316.341878</v>
      </c>
      <c r="V182" s="13">
        <f t="shared" si="45"/>
        <v>1527.3824999999999</v>
      </c>
      <c r="X182" s="30"/>
    </row>
    <row r="183" spans="1:24" x14ac:dyDescent="0.25">
      <c r="A183" s="8">
        <v>181</v>
      </c>
      <c r="B183" s="8">
        <v>20.031400000000001</v>
      </c>
      <c r="C183" s="8">
        <v>85.085300000000004</v>
      </c>
      <c r="D183" s="8" t="s">
        <v>7</v>
      </c>
      <c r="E183" s="8" t="s">
        <v>93</v>
      </c>
      <c r="F183" s="8">
        <v>4</v>
      </c>
      <c r="G183" s="8">
        <v>5590.64</v>
      </c>
      <c r="H183" s="8" t="s">
        <v>54</v>
      </c>
      <c r="I183" s="3">
        <f t="shared" si="32"/>
        <v>3.75</v>
      </c>
      <c r="J183" s="11">
        <f t="shared" si="33"/>
        <v>18901.953840000002</v>
      </c>
      <c r="K183" s="11">
        <f t="shared" si="34"/>
        <v>17949.308784000001</v>
      </c>
      <c r="L183" s="11">
        <f t="shared" si="35"/>
        <v>16842.362064000001</v>
      </c>
      <c r="M183" s="11">
        <f t="shared" si="36"/>
        <v>15696.839928000001</v>
      </c>
      <c r="N183" s="11">
        <f t="shared" si="37"/>
        <v>14358.440712</v>
      </c>
      <c r="O183" s="11">
        <f t="shared" si="38"/>
        <v>14358.440712</v>
      </c>
      <c r="P183" s="11">
        <f t="shared" si="39"/>
        <v>20964.900000000001</v>
      </c>
      <c r="Q183" s="11">
        <f t="shared" si="40"/>
        <v>20964.900000000001</v>
      </c>
      <c r="R183" s="11">
        <f t="shared" si="41"/>
        <v>20964.900000000001</v>
      </c>
      <c r="S183" s="11">
        <f t="shared" si="42"/>
        <v>20964.900000000001</v>
      </c>
      <c r="T183" s="11">
        <f t="shared" si="43"/>
        <v>20248.739016000003</v>
      </c>
      <c r="U183" s="11">
        <f t="shared" si="44"/>
        <v>19613.083248000003</v>
      </c>
      <c r="V183" s="13">
        <f t="shared" si="45"/>
        <v>20964.900000000001</v>
      </c>
      <c r="X183" s="30"/>
    </row>
    <row r="184" spans="1:24" x14ac:dyDescent="0.25">
      <c r="A184" s="8">
        <v>182</v>
      </c>
      <c r="B184" s="8">
        <v>20.033300000000001</v>
      </c>
      <c r="C184" s="8">
        <v>85.083299999999994</v>
      </c>
      <c r="D184" s="8" t="s">
        <v>7</v>
      </c>
      <c r="E184" s="8" t="s">
        <v>93</v>
      </c>
      <c r="F184" s="8">
        <v>4</v>
      </c>
      <c r="G184" s="8">
        <v>9833.4500000000007</v>
      </c>
      <c r="H184" s="8" t="s">
        <v>54</v>
      </c>
      <c r="I184" s="3">
        <f t="shared" si="32"/>
        <v>3.75</v>
      </c>
      <c r="J184" s="11">
        <f t="shared" si="33"/>
        <v>33246.894450000007</v>
      </c>
      <c r="K184" s="11">
        <f t="shared" si="34"/>
        <v>31571.274570000001</v>
      </c>
      <c r="L184" s="11">
        <f t="shared" si="35"/>
        <v>29624.251470000003</v>
      </c>
      <c r="M184" s="11">
        <f t="shared" si="36"/>
        <v>27609.377565000003</v>
      </c>
      <c r="N184" s="11">
        <f t="shared" si="37"/>
        <v>25255.249635</v>
      </c>
      <c r="O184" s="11">
        <f t="shared" si="38"/>
        <v>25255.249635</v>
      </c>
      <c r="P184" s="11">
        <f t="shared" si="39"/>
        <v>36875.4375</v>
      </c>
      <c r="Q184" s="11">
        <f t="shared" si="40"/>
        <v>36875.4375</v>
      </c>
      <c r="R184" s="11">
        <f t="shared" si="41"/>
        <v>36875.4375</v>
      </c>
      <c r="S184" s="11">
        <f t="shared" si="42"/>
        <v>36875.4375</v>
      </c>
      <c r="T184" s="11">
        <f t="shared" si="43"/>
        <v>35615.772555000003</v>
      </c>
      <c r="U184" s="11">
        <f t="shared" si="44"/>
        <v>34497.709289999999</v>
      </c>
      <c r="V184" s="13">
        <f t="shared" si="45"/>
        <v>36875.4375</v>
      </c>
      <c r="X184" s="30"/>
    </row>
    <row r="185" spans="1:24" x14ac:dyDescent="0.25">
      <c r="A185" s="8">
        <v>183</v>
      </c>
      <c r="B185" s="8">
        <v>20.036100000000001</v>
      </c>
      <c r="C185" s="8">
        <v>85.080799999999996</v>
      </c>
      <c r="D185" s="8" t="s">
        <v>7</v>
      </c>
      <c r="E185" s="8" t="s">
        <v>93</v>
      </c>
      <c r="F185" s="8">
        <v>3</v>
      </c>
      <c r="G185" s="8">
        <v>12382.63</v>
      </c>
      <c r="H185" s="8" t="s">
        <v>54</v>
      </c>
      <c r="I185" s="3">
        <f t="shared" si="32"/>
        <v>2.75</v>
      </c>
      <c r="J185" s="11">
        <f t="shared" si="33"/>
        <v>29483.042030000001</v>
      </c>
      <c r="K185" s="11">
        <f t="shared" si="34"/>
        <v>27373.041877999996</v>
      </c>
      <c r="L185" s="11">
        <f t="shared" si="35"/>
        <v>24921.281137999998</v>
      </c>
      <c r="M185" s="11">
        <f t="shared" si="36"/>
        <v>22384.080250999999</v>
      </c>
      <c r="N185" s="11">
        <f t="shared" si="37"/>
        <v>19419.678628999998</v>
      </c>
      <c r="O185" s="11">
        <f t="shared" si="38"/>
        <v>19419.678628999998</v>
      </c>
      <c r="P185" s="11">
        <f t="shared" si="39"/>
        <v>34052.232499999998</v>
      </c>
      <c r="Q185" s="11">
        <f t="shared" si="40"/>
        <v>34052.232499999998</v>
      </c>
      <c r="R185" s="11">
        <f t="shared" si="41"/>
        <v>34052.232499999998</v>
      </c>
      <c r="S185" s="11">
        <f t="shared" si="42"/>
        <v>34052.232499999998</v>
      </c>
      <c r="T185" s="11">
        <f t="shared" si="43"/>
        <v>32466.017596999998</v>
      </c>
      <c r="U185" s="11">
        <f t="shared" si="44"/>
        <v>31058.112565999996</v>
      </c>
      <c r="V185" s="13">
        <f t="shared" si="45"/>
        <v>34052.232499999998</v>
      </c>
      <c r="X185" s="30"/>
    </row>
    <row r="186" spans="1:24" x14ac:dyDescent="0.25">
      <c r="A186" s="8">
        <v>184</v>
      </c>
      <c r="B186" s="8">
        <v>20.034199999999998</v>
      </c>
      <c r="C186" s="8">
        <v>85.076400000000007</v>
      </c>
      <c r="D186" s="8" t="s">
        <v>7</v>
      </c>
      <c r="E186" s="8" t="s">
        <v>93</v>
      </c>
      <c r="F186" s="8">
        <v>2</v>
      </c>
      <c r="G186" s="8">
        <v>5590.36</v>
      </c>
      <c r="H186" s="8" t="s">
        <v>54</v>
      </c>
      <c r="I186" s="3">
        <f t="shared" si="32"/>
        <v>1.75</v>
      </c>
      <c r="J186" s="11">
        <f t="shared" si="33"/>
        <v>7720.2871599999999</v>
      </c>
      <c r="K186" s="11">
        <f t="shared" si="34"/>
        <v>6767.6898159999992</v>
      </c>
      <c r="L186" s="11">
        <f t="shared" si="35"/>
        <v>5660.7985359999993</v>
      </c>
      <c r="M186" s="11">
        <f t="shared" si="36"/>
        <v>4515.333772</v>
      </c>
      <c r="N186" s="11">
        <f t="shared" si="37"/>
        <v>3177.0015880000001</v>
      </c>
      <c r="O186" s="11">
        <f t="shared" si="38"/>
        <v>3177.0015880000001</v>
      </c>
      <c r="P186" s="11">
        <f t="shared" si="39"/>
        <v>9783.1299999999992</v>
      </c>
      <c r="Q186" s="11">
        <f t="shared" si="40"/>
        <v>9783.1299999999992</v>
      </c>
      <c r="R186" s="11">
        <f t="shared" si="41"/>
        <v>9783.1299999999992</v>
      </c>
      <c r="S186" s="11">
        <f t="shared" si="42"/>
        <v>9783.1299999999992</v>
      </c>
      <c r="T186" s="11">
        <f t="shared" si="43"/>
        <v>9067.0048839999999</v>
      </c>
      <c r="U186" s="11">
        <f t="shared" si="44"/>
        <v>8431.3809519999995</v>
      </c>
      <c r="V186" s="13">
        <f t="shared" si="45"/>
        <v>9783.1299999999992</v>
      </c>
      <c r="X186" s="30"/>
    </row>
    <row r="187" spans="1:24" x14ac:dyDescent="0.25">
      <c r="A187" s="8">
        <v>185</v>
      </c>
      <c r="B187" s="8">
        <v>20.034300000000002</v>
      </c>
      <c r="C187" s="8">
        <v>85.080100000000002</v>
      </c>
      <c r="D187" s="8" t="s">
        <v>7</v>
      </c>
      <c r="E187" s="8" t="s">
        <v>93</v>
      </c>
      <c r="F187" s="8">
        <v>3</v>
      </c>
      <c r="G187" s="8">
        <v>579.6</v>
      </c>
      <c r="H187" s="8" t="s">
        <v>54</v>
      </c>
      <c r="I187" s="3">
        <f t="shared" si="32"/>
        <v>2.75</v>
      </c>
      <c r="J187" s="11">
        <f t="shared" si="33"/>
        <v>1380.0276000000001</v>
      </c>
      <c r="K187" s="11">
        <f t="shared" si="34"/>
        <v>1281.26376</v>
      </c>
      <c r="L187" s="11">
        <f t="shared" si="35"/>
        <v>1166.50296</v>
      </c>
      <c r="M187" s="11">
        <f t="shared" si="36"/>
        <v>1047.7429200000001</v>
      </c>
      <c r="N187" s="11">
        <f t="shared" si="37"/>
        <v>908.98668000000009</v>
      </c>
      <c r="O187" s="11">
        <f t="shared" si="38"/>
        <v>908.98668000000009</v>
      </c>
      <c r="P187" s="11">
        <f t="shared" si="39"/>
        <v>1593.9</v>
      </c>
      <c r="Q187" s="11">
        <f t="shared" si="40"/>
        <v>1593.9</v>
      </c>
      <c r="R187" s="11">
        <f t="shared" si="41"/>
        <v>1593.9</v>
      </c>
      <c r="S187" s="11">
        <f t="shared" si="42"/>
        <v>1593.9</v>
      </c>
      <c r="T187" s="11">
        <f t="shared" si="43"/>
        <v>1519.6532400000001</v>
      </c>
      <c r="U187" s="11">
        <f t="shared" si="44"/>
        <v>1453.75272</v>
      </c>
      <c r="V187" s="13">
        <f t="shared" si="45"/>
        <v>1593.9</v>
      </c>
      <c r="X187" s="30"/>
    </row>
    <row r="188" spans="1:24" x14ac:dyDescent="0.25">
      <c r="A188" s="8">
        <v>186</v>
      </c>
      <c r="B188" s="8">
        <v>20.031400000000001</v>
      </c>
      <c r="C188" s="8">
        <v>85.0899</v>
      </c>
      <c r="D188" s="8" t="s">
        <v>7</v>
      </c>
      <c r="E188" s="8" t="s">
        <v>93</v>
      </c>
      <c r="F188" s="8">
        <v>2.5</v>
      </c>
      <c r="G188" s="8">
        <v>3524.36</v>
      </c>
      <c r="H188" s="8" t="s">
        <v>54</v>
      </c>
      <c r="I188" s="3">
        <f t="shared" si="32"/>
        <v>2.25</v>
      </c>
      <c r="J188" s="11">
        <f t="shared" si="33"/>
        <v>6629.3211600000004</v>
      </c>
      <c r="K188" s="11">
        <f t="shared" si="34"/>
        <v>6028.7702159999999</v>
      </c>
      <c r="L188" s="11">
        <f t="shared" si="35"/>
        <v>5330.9469360000003</v>
      </c>
      <c r="M188" s="11">
        <f t="shared" si="36"/>
        <v>4608.8055720000002</v>
      </c>
      <c r="N188" s="11">
        <f t="shared" si="37"/>
        <v>3765.0737880000001</v>
      </c>
      <c r="O188" s="11">
        <f t="shared" si="38"/>
        <v>3765.0737880000001</v>
      </c>
      <c r="P188" s="11">
        <f t="shared" si="39"/>
        <v>7929.81</v>
      </c>
      <c r="Q188" s="11">
        <f t="shared" si="40"/>
        <v>7929.81</v>
      </c>
      <c r="R188" s="11">
        <f t="shared" si="41"/>
        <v>7929.81</v>
      </c>
      <c r="S188" s="11">
        <f t="shared" si="42"/>
        <v>7929.81</v>
      </c>
      <c r="T188" s="11">
        <f t="shared" si="43"/>
        <v>7478.339484000001</v>
      </c>
      <c r="U188" s="11">
        <f t="shared" si="44"/>
        <v>7077.6197520000005</v>
      </c>
      <c r="V188" s="13">
        <f t="shared" si="45"/>
        <v>7929.81</v>
      </c>
      <c r="X188" s="30"/>
    </row>
    <row r="189" spans="1:24" x14ac:dyDescent="0.25">
      <c r="A189" s="8">
        <v>187</v>
      </c>
      <c r="B189" s="8">
        <v>20.037800000000001</v>
      </c>
      <c r="C189" s="8">
        <v>85.0959</v>
      </c>
      <c r="D189" s="8" t="s">
        <v>7</v>
      </c>
      <c r="E189" s="8" t="s">
        <v>93</v>
      </c>
      <c r="F189" s="8">
        <v>3</v>
      </c>
      <c r="G189" s="8">
        <v>5897.8</v>
      </c>
      <c r="H189" s="8" t="s">
        <v>54</v>
      </c>
      <c r="I189" s="3">
        <f t="shared" si="32"/>
        <v>2.75</v>
      </c>
      <c r="J189" s="11">
        <f t="shared" si="33"/>
        <v>14042.661800000002</v>
      </c>
      <c r="K189" s="11">
        <f t="shared" si="34"/>
        <v>13037.67668</v>
      </c>
      <c r="L189" s="11">
        <f t="shared" si="35"/>
        <v>11869.91228</v>
      </c>
      <c r="M189" s="11">
        <f t="shared" si="36"/>
        <v>10661.453060000002</v>
      </c>
      <c r="N189" s="11">
        <f t="shared" si="37"/>
        <v>9249.5197399999997</v>
      </c>
      <c r="O189" s="11">
        <f t="shared" si="38"/>
        <v>9249.5197399999997</v>
      </c>
      <c r="P189" s="11">
        <f t="shared" si="39"/>
        <v>16218.95</v>
      </c>
      <c r="Q189" s="11">
        <f t="shared" si="40"/>
        <v>16218.95</v>
      </c>
      <c r="R189" s="11">
        <f t="shared" si="41"/>
        <v>16218.95</v>
      </c>
      <c r="S189" s="11">
        <f t="shared" si="42"/>
        <v>16218.95</v>
      </c>
      <c r="T189" s="11">
        <f t="shared" si="43"/>
        <v>15463.441820000002</v>
      </c>
      <c r="U189" s="11">
        <f t="shared" si="44"/>
        <v>14792.86196</v>
      </c>
      <c r="V189" s="13">
        <f t="shared" si="45"/>
        <v>16218.95</v>
      </c>
      <c r="X189" s="30"/>
    </row>
    <row r="190" spans="1:24" x14ac:dyDescent="0.25">
      <c r="A190" s="8">
        <v>188</v>
      </c>
      <c r="B190" s="8">
        <v>20.040400000000002</v>
      </c>
      <c r="C190" s="8">
        <v>85.092699999999994</v>
      </c>
      <c r="D190" s="8" t="s">
        <v>7</v>
      </c>
      <c r="E190" s="8" t="s">
        <v>93</v>
      </c>
      <c r="F190" s="8">
        <v>3</v>
      </c>
      <c r="G190" s="8">
        <v>8346.19</v>
      </c>
      <c r="H190" s="8" t="s">
        <v>54</v>
      </c>
      <c r="I190" s="3">
        <f t="shared" si="32"/>
        <v>2.75</v>
      </c>
      <c r="J190" s="11">
        <f t="shared" si="33"/>
        <v>19872.278390000003</v>
      </c>
      <c r="K190" s="11">
        <f t="shared" si="34"/>
        <v>18450.087614</v>
      </c>
      <c r="L190" s="11">
        <f t="shared" si="35"/>
        <v>16797.541993999999</v>
      </c>
      <c r="M190" s="11">
        <f t="shared" si="36"/>
        <v>15087.407663000002</v>
      </c>
      <c r="N190" s="11">
        <f t="shared" si="37"/>
        <v>13089.329777000001</v>
      </c>
      <c r="O190" s="11">
        <f t="shared" si="38"/>
        <v>13089.329777000001</v>
      </c>
      <c r="P190" s="11">
        <f t="shared" si="39"/>
        <v>22952.022500000003</v>
      </c>
      <c r="Q190" s="11">
        <f t="shared" si="40"/>
        <v>22952.022500000003</v>
      </c>
      <c r="R190" s="11">
        <f t="shared" si="41"/>
        <v>22952.022500000003</v>
      </c>
      <c r="S190" s="11">
        <f t="shared" si="42"/>
        <v>22952.022500000003</v>
      </c>
      <c r="T190" s="11">
        <f t="shared" si="43"/>
        <v>21882.875561000001</v>
      </c>
      <c r="U190" s="11">
        <f t="shared" si="44"/>
        <v>20933.913758000002</v>
      </c>
      <c r="V190" s="13">
        <f t="shared" si="45"/>
        <v>22952.022500000003</v>
      </c>
      <c r="X190" s="30"/>
    </row>
    <row r="191" spans="1:24" x14ac:dyDescent="0.25">
      <c r="A191" s="8">
        <v>189</v>
      </c>
      <c r="B191" s="8">
        <v>20.040099999999999</v>
      </c>
      <c r="C191" s="8">
        <v>85.104600000000005</v>
      </c>
      <c r="D191" s="8" t="s">
        <v>7</v>
      </c>
      <c r="E191" s="8" t="s">
        <v>93</v>
      </c>
      <c r="F191" s="8">
        <v>4</v>
      </c>
      <c r="G191" s="8">
        <v>1509.78</v>
      </c>
      <c r="H191" s="8" t="s">
        <v>54</v>
      </c>
      <c r="I191" s="3">
        <f t="shared" si="32"/>
        <v>3.75</v>
      </c>
      <c r="J191" s="11">
        <f t="shared" si="33"/>
        <v>5104.5661799999998</v>
      </c>
      <c r="K191" s="11">
        <f t="shared" si="34"/>
        <v>4847.2996679999997</v>
      </c>
      <c r="L191" s="11">
        <f t="shared" si="35"/>
        <v>4548.3632280000002</v>
      </c>
      <c r="M191" s="11">
        <f t="shared" si="36"/>
        <v>4239.0093059999999</v>
      </c>
      <c r="N191" s="11">
        <f t="shared" si="37"/>
        <v>3877.5679739999996</v>
      </c>
      <c r="O191" s="11">
        <f t="shared" si="38"/>
        <v>3877.5679739999996</v>
      </c>
      <c r="P191" s="11">
        <f t="shared" si="39"/>
        <v>5661.6750000000002</v>
      </c>
      <c r="Q191" s="11">
        <f t="shared" si="40"/>
        <v>5661.6750000000002</v>
      </c>
      <c r="R191" s="11">
        <f t="shared" si="41"/>
        <v>5661.6750000000002</v>
      </c>
      <c r="S191" s="11">
        <f t="shared" si="42"/>
        <v>5661.6750000000002</v>
      </c>
      <c r="T191" s="11">
        <f t="shared" si="43"/>
        <v>5468.2721819999997</v>
      </c>
      <c r="U191" s="11">
        <f t="shared" si="44"/>
        <v>5296.6101959999996</v>
      </c>
      <c r="V191" s="13">
        <f t="shared" si="45"/>
        <v>5661.6750000000002</v>
      </c>
      <c r="X191" s="30"/>
    </row>
    <row r="192" spans="1:24" x14ac:dyDescent="0.25">
      <c r="A192" s="8">
        <v>190</v>
      </c>
      <c r="B192" s="8">
        <v>20.042400000000001</v>
      </c>
      <c r="C192" s="8">
        <v>85.105000000000004</v>
      </c>
      <c r="D192" s="8" t="s">
        <v>7</v>
      </c>
      <c r="E192" s="8" t="s">
        <v>93</v>
      </c>
      <c r="F192" s="8">
        <v>3</v>
      </c>
      <c r="G192" s="8">
        <v>653.04999999999995</v>
      </c>
      <c r="H192" s="8" t="s">
        <v>54</v>
      </c>
      <c r="I192" s="3">
        <f t="shared" si="32"/>
        <v>2.75</v>
      </c>
      <c r="J192" s="11">
        <f t="shared" si="33"/>
        <v>1554.9120500000001</v>
      </c>
      <c r="K192" s="11">
        <f t="shared" si="34"/>
        <v>1443.6323299999999</v>
      </c>
      <c r="L192" s="11">
        <f t="shared" si="35"/>
        <v>1314.3284299999998</v>
      </c>
      <c r="M192" s="11">
        <f t="shared" si="36"/>
        <v>1180.5184850000001</v>
      </c>
      <c r="N192" s="11">
        <f t="shared" si="37"/>
        <v>1024.1783149999999</v>
      </c>
      <c r="O192" s="11">
        <f t="shared" si="38"/>
        <v>1024.1783149999999</v>
      </c>
      <c r="P192" s="11">
        <f t="shared" si="39"/>
        <v>1795.8874999999998</v>
      </c>
      <c r="Q192" s="11">
        <f t="shared" si="40"/>
        <v>1795.8874999999998</v>
      </c>
      <c r="R192" s="11">
        <f t="shared" si="41"/>
        <v>1795.8874999999998</v>
      </c>
      <c r="S192" s="11">
        <f t="shared" si="42"/>
        <v>1795.8874999999998</v>
      </c>
      <c r="T192" s="11">
        <f t="shared" si="43"/>
        <v>1712.2317949999999</v>
      </c>
      <c r="U192" s="11">
        <f t="shared" si="44"/>
        <v>1637.9800099999998</v>
      </c>
      <c r="V192" s="13">
        <f t="shared" si="45"/>
        <v>1795.8874999999998</v>
      </c>
      <c r="X192" s="30"/>
    </row>
    <row r="193" spans="1:24" x14ac:dyDescent="0.25">
      <c r="A193" s="8">
        <v>191</v>
      </c>
      <c r="B193" s="8">
        <v>20.0444</v>
      </c>
      <c r="C193" s="8">
        <v>85.105199999999996</v>
      </c>
      <c r="D193" s="8" t="s">
        <v>7</v>
      </c>
      <c r="E193" s="8" t="s">
        <v>93</v>
      </c>
      <c r="F193" s="8">
        <v>3</v>
      </c>
      <c r="G193" s="8">
        <v>4701.7299999999996</v>
      </c>
      <c r="H193" s="8" t="s">
        <v>54</v>
      </c>
      <c r="I193" s="3">
        <f t="shared" si="32"/>
        <v>2.75</v>
      </c>
      <c r="J193" s="11">
        <f t="shared" si="33"/>
        <v>11194.81913</v>
      </c>
      <c r="K193" s="11">
        <f t="shared" si="34"/>
        <v>10393.644337999998</v>
      </c>
      <c r="L193" s="11">
        <f t="shared" si="35"/>
        <v>9462.7017979999982</v>
      </c>
      <c r="M193" s="11">
        <f t="shared" si="36"/>
        <v>8499.3173210000004</v>
      </c>
      <c r="N193" s="11">
        <f t="shared" si="37"/>
        <v>7373.7231589999992</v>
      </c>
      <c r="O193" s="11">
        <f t="shared" si="38"/>
        <v>7373.7231589999992</v>
      </c>
      <c r="P193" s="11">
        <f t="shared" si="39"/>
        <v>12929.7575</v>
      </c>
      <c r="Q193" s="11">
        <f t="shared" si="40"/>
        <v>12929.7575</v>
      </c>
      <c r="R193" s="11">
        <f t="shared" si="41"/>
        <v>12929.7575</v>
      </c>
      <c r="S193" s="11">
        <f t="shared" si="42"/>
        <v>12929.7575</v>
      </c>
      <c r="T193" s="11">
        <f t="shared" si="43"/>
        <v>12327.465887</v>
      </c>
      <c r="U193" s="11">
        <f t="shared" si="44"/>
        <v>11792.879185999998</v>
      </c>
      <c r="V193" s="13">
        <f t="shared" si="45"/>
        <v>12929.7575</v>
      </c>
      <c r="X193" s="30"/>
    </row>
    <row r="194" spans="1:24" x14ac:dyDescent="0.25">
      <c r="A194" s="8">
        <v>192</v>
      </c>
      <c r="B194" s="8">
        <v>20.043099999999999</v>
      </c>
      <c r="C194" s="8">
        <v>85.113100000000003</v>
      </c>
      <c r="D194" s="8" t="s">
        <v>7</v>
      </c>
      <c r="E194" s="8" t="s">
        <v>93</v>
      </c>
      <c r="F194" s="8">
        <v>3</v>
      </c>
      <c r="G194" s="8">
        <v>452.36</v>
      </c>
      <c r="H194" s="8" t="s">
        <v>61</v>
      </c>
      <c r="I194" s="3">
        <f t="shared" si="32"/>
        <v>2.75</v>
      </c>
      <c r="J194" s="11">
        <f t="shared" si="33"/>
        <v>1077.0691600000002</v>
      </c>
      <c r="K194" s="11">
        <f t="shared" si="34"/>
        <v>999.98701600000004</v>
      </c>
      <c r="L194" s="11">
        <f t="shared" si="35"/>
        <v>910.41973600000006</v>
      </c>
      <c r="M194" s="11">
        <f t="shared" si="36"/>
        <v>817.73117200000002</v>
      </c>
      <c r="N194" s="11">
        <f t="shared" si="37"/>
        <v>709.43618800000002</v>
      </c>
      <c r="O194" s="11">
        <f t="shared" si="38"/>
        <v>709.43618800000002</v>
      </c>
      <c r="P194" s="11">
        <f t="shared" si="39"/>
        <v>1243.99</v>
      </c>
      <c r="Q194" s="11">
        <f t="shared" si="40"/>
        <v>1243.99</v>
      </c>
      <c r="R194" s="11">
        <f t="shared" si="41"/>
        <v>1243.99</v>
      </c>
      <c r="S194" s="11">
        <f t="shared" si="42"/>
        <v>1243.99</v>
      </c>
      <c r="T194" s="11">
        <f t="shared" si="43"/>
        <v>1186.042684</v>
      </c>
      <c r="U194" s="11">
        <f t="shared" si="44"/>
        <v>1134.6093519999999</v>
      </c>
      <c r="V194" s="13">
        <f t="shared" si="45"/>
        <v>1243.99</v>
      </c>
      <c r="X194" s="30"/>
    </row>
    <row r="195" spans="1:24" x14ac:dyDescent="0.25">
      <c r="A195" s="8">
        <v>193</v>
      </c>
      <c r="B195" s="8">
        <v>20.044</v>
      </c>
      <c r="C195" s="8">
        <v>85.114699999999999</v>
      </c>
      <c r="D195" s="8" t="s">
        <v>7</v>
      </c>
      <c r="E195" s="8" t="s">
        <v>93</v>
      </c>
      <c r="F195" s="8">
        <v>4</v>
      </c>
      <c r="G195" s="8">
        <v>16326.19</v>
      </c>
      <c r="H195" s="8" t="s">
        <v>61</v>
      </c>
      <c r="I195" s="3">
        <f t="shared" ref="I195:I258" si="46">F195-$AC$20</f>
        <v>3.75</v>
      </c>
      <c r="J195" s="11">
        <f t="shared" ref="J195:J258" si="47">IF($I195-Z$24&lt;0, 0, ($I195-Z$24)*$G195)</f>
        <v>55198.848390000006</v>
      </c>
      <c r="K195" s="11">
        <f t="shared" ref="K195:K258" si="48">IF($I195-AA$24&lt;0, 0, ($I195-AA$24)*$G195)</f>
        <v>52416.865614000002</v>
      </c>
      <c r="L195" s="11">
        <f t="shared" ref="L195:L258" si="49">IF($I195-AB$24&lt;0, 0, ($I195-AB$24)*$G195)</f>
        <v>49184.279994000004</v>
      </c>
      <c r="M195" s="11">
        <f t="shared" ref="M195:M258" si="50">IF($I195-AC$24&lt;0, 0, ($I195-AC$24)*$G195)</f>
        <v>45839.043663000004</v>
      </c>
      <c r="N195" s="11">
        <f t="shared" ref="N195:N258" si="51">IF($I195-AD$24&lt;0, 0, ($I195-AD$24)*$G195)</f>
        <v>41930.553777000001</v>
      </c>
      <c r="O195" s="11">
        <f t="shared" ref="O195:O258" si="52">IF($I195-AE$24&lt;0, 0, ($I195-AE$24)*$G195)</f>
        <v>41930.553777000001</v>
      </c>
      <c r="P195" s="11">
        <f t="shared" ref="P195:P258" si="53">IF($I195-AF$24&lt;0, 0, ($I195-AF$24)*$G195)</f>
        <v>61223.212500000001</v>
      </c>
      <c r="Q195" s="11">
        <f t="shared" ref="Q195:Q258" si="54">IF($I195-AG$24&lt;0, 0, ($I195-AG$24)*$G195)</f>
        <v>61223.212500000001</v>
      </c>
      <c r="R195" s="11">
        <f t="shared" ref="R195:R258" si="55">IF($I195-AH$24&lt;0, 0, ($I195-AH$24)*$G195)</f>
        <v>61223.212500000001</v>
      </c>
      <c r="S195" s="11">
        <f t="shared" ref="S195:S258" si="56">IF($I195-AI$24&lt;0, 0, ($I195-AI$24)*$G195)</f>
        <v>61223.212500000001</v>
      </c>
      <c r="T195" s="11">
        <f t="shared" ref="T195:T258" si="57">IF($I195-AJ$24&lt;0, 0, ($I195-AJ$24)*$G195)</f>
        <v>59131.827561000006</v>
      </c>
      <c r="U195" s="11">
        <f t="shared" ref="U195:U258" si="58">IF($I195-AK$24&lt;0, 0, ($I195-AK$24)*$G195)</f>
        <v>57275.539757999999</v>
      </c>
      <c r="V195" s="13">
        <f t="shared" si="45"/>
        <v>61223.212500000001</v>
      </c>
      <c r="X195" s="30"/>
    </row>
    <row r="196" spans="1:24" x14ac:dyDescent="0.25">
      <c r="A196" s="8">
        <v>194</v>
      </c>
      <c r="B196" s="8">
        <v>20.041699999999999</v>
      </c>
      <c r="C196" s="8">
        <v>85.112399999999994</v>
      </c>
      <c r="D196" s="8" t="s">
        <v>7</v>
      </c>
      <c r="E196" s="8" t="s">
        <v>93</v>
      </c>
      <c r="F196" s="8">
        <v>4</v>
      </c>
      <c r="G196" s="8">
        <v>7100.49</v>
      </c>
      <c r="H196" s="8" t="s">
        <v>61</v>
      </c>
      <c r="I196" s="3">
        <f t="shared" si="46"/>
        <v>3.75</v>
      </c>
      <c r="J196" s="11">
        <f t="shared" si="47"/>
        <v>24006.756690000002</v>
      </c>
      <c r="K196" s="11">
        <f t="shared" si="48"/>
        <v>22796.833193999999</v>
      </c>
      <c r="L196" s="11">
        <f t="shared" si="49"/>
        <v>21390.936173999999</v>
      </c>
      <c r="M196" s="11">
        <f t="shared" si="50"/>
        <v>19936.045773000002</v>
      </c>
      <c r="N196" s="11">
        <f t="shared" si="51"/>
        <v>18236.188466999996</v>
      </c>
      <c r="O196" s="11">
        <f t="shared" si="52"/>
        <v>18236.188466999996</v>
      </c>
      <c r="P196" s="11">
        <f t="shared" si="53"/>
        <v>26626.837499999998</v>
      </c>
      <c r="Q196" s="11">
        <f t="shared" si="54"/>
        <v>26626.837499999998</v>
      </c>
      <c r="R196" s="11">
        <f t="shared" si="55"/>
        <v>26626.837499999998</v>
      </c>
      <c r="S196" s="11">
        <f t="shared" si="56"/>
        <v>26626.837499999998</v>
      </c>
      <c r="T196" s="11">
        <f t="shared" si="57"/>
        <v>25717.264730999999</v>
      </c>
      <c r="U196" s="11">
        <f t="shared" si="58"/>
        <v>24909.939018000001</v>
      </c>
      <c r="V196" s="13">
        <f t="shared" ref="V196:V259" si="59">MAX(J196:U196)</f>
        <v>26626.837499999998</v>
      </c>
      <c r="X196" s="30"/>
    </row>
    <row r="197" spans="1:24" x14ac:dyDescent="0.25">
      <c r="A197" s="8">
        <v>195</v>
      </c>
      <c r="B197" s="8">
        <v>20.041</v>
      </c>
      <c r="C197" s="8">
        <v>85.113500000000002</v>
      </c>
      <c r="D197" s="8" t="s">
        <v>7</v>
      </c>
      <c r="E197" s="8" t="s">
        <v>93</v>
      </c>
      <c r="F197" s="8">
        <v>2</v>
      </c>
      <c r="G197" s="8">
        <v>333.29</v>
      </c>
      <c r="H197" s="8" t="s">
        <v>61</v>
      </c>
      <c r="I197" s="3">
        <f t="shared" si="46"/>
        <v>1.75</v>
      </c>
      <c r="J197" s="11">
        <f t="shared" si="47"/>
        <v>460.27349000000004</v>
      </c>
      <c r="K197" s="11">
        <f t="shared" si="48"/>
        <v>403.48087399999997</v>
      </c>
      <c r="L197" s="11">
        <f t="shared" si="49"/>
        <v>337.48945400000002</v>
      </c>
      <c r="M197" s="11">
        <f t="shared" si="50"/>
        <v>269.19833299999999</v>
      </c>
      <c r="N197" s="11">
        <f t="shared" si="51"/>
        <v>189.40870700000002</v>
      </c>
      <c r="O197" s="11">
        <f t="shared" si="52"/>
        <v>189.40870700000002</v>
      </c>
      <c r="P197" s="11">
        <f t="shared" si="53"/>
        <v>583.25750000000005</v>
      </c>
      <c r="Q197" s="11">
        <f t="shared" si="54"/>
        <v>583.25750000000005</v>
      </c>
      <c r="R197" s="11">
        <f t="shared" si="55"/>
        <v>583.25750000000005</v>
      </c>
      <c r="S197" s="11">
        <f t="shared" si="56"/>
        <v>583.25750000000005</v>
      </c>
      <c r="T197" s="11">
        <f t="shared" si="57"/>
        <v>540.56305100000009</v>
      </c>
      <c r="U197" s="11">
        <f t="shared" si="58"/>
        <v>502.66797800000001</v>
      </c>
      <c r="V197" s="13">
        <f t="shared" si="59"/>
        <v>583.25750000000005</v>
      </c>
      <c r="X197" s="30"/>
    </row>
    <row r="198" spans="1:24" x14ac:dyDescent="0.25">
      <c r="A198" s="8">
        <v>196</v>
      </c>
      <c r="B198" s="8">
        <v>20.040900000000001</v>
      </c>
      <c r="C198" s="8">
        <v>85.115399999999994</v>
      </c>
      <c r="D198" s="8" t="s">
        <v>7</v>
      </c>
      <c r="E198" s="8" t="s">
        <v>93</v>
      </c>
      <c r="F198" s="8">
        <v>2</v>
      </c>
      <c r="G198" s="8">
        <v>372.39</v>
      </c>
      <c r="H198" s="8" t="s">
        <v>61</v>
      </c>
      <c r="I198" s="3">
        <f t="shared" si="46"/>
        <v>1.75</v>
      </c>
      <c r="J198" s="11">
        <f t="shared" si="47"/>
        <v>514.27058999999997</v>
      </c>
      <c r="K198" s="11">
        <f t="shared" si="48"/>
        <v>450.81533399999995</v>
      </c>
      <c r="L198" s="11">
        <f t="shared" si="49"/>
        <v>377.08211399999999</v>
      </c>
      <c r="M198" s="11">
        <f t="shared" si="50"/>
        <v>300.779403</v>
      </c>
      <c r="N198" s="11">
        <f t="shared" si="51"/>
        <v>211.62923699999999</v>
      </c>
      <c r="O198" s="11">
        <f t="shared" si="52"/>
        <v>211.62923699999999</v>
      </c>
      <c r="P198" s="11">
        <f t="shared" si="53"/>
        <v>651.6825</v>
      </c>
      <c r="Q198" s="11">
        <f t="shared" si="54"/>
        <v>651.6825</v>
      </c>
      <c r="R198" s="11">
        <f t="shared" si="55"/>
        <v>651.6825</v>
      </c>
      <c r="S198" s="11">
        <f t="shared" si="56"/>
        <v>651.6825</v>
      </c>
      <c r="T198" s="11">
        <f t="shared" si="57"/>
        <v>603.97934099999998</v>
      </c>
      <c r="U198" s="11">
        <f t="shared" si="58"/>
        <v>561.638598</v>
      </c>
      <c r="V198" s="13">
        <f t="shared" si="59"/>
        <v>651.6825</v>
      </c>
      <c r="X198" s="30"/>
    </row>
    <row r="199" spans="1:24" x14ac:dyDescent="0.25">
      <c r="A199" s="8">
        <v>197</v>
      </c>
      <c r="B199" s="8">
        <v>20.0396</v>
      </c>
      <c r="C199" s="8">
        <v>85.115600000000001</v>
      </c>
      <c r="D199" s="8" t="s">
        <v>7</v>
      </c>
      <c r="E199" s="8" t="s">
        <v>93</v>
      </c>
      <c r="F199" s="8">
        <v>2</v>
      </c>
      <c r="G199" s="8">
        <v>426.42</v>
      </c>
      <c r="H199" s="8" t="s">
        <v>61</v>
      </c>
      <c r="I199" s="3">
        <f t="shared" si="46"/>
        <v>1.75</v>
      </c>
      <c r="J199" s="11">
        <f t="shared" si="47"/>
        <v>588.88602000000003</v>
      </c>
      <c r="K199" s="11">
        <f t="shared" si="48"/>
        <v>516.22405200000003</v>
      </c>
      <c r="L199" s="11">
        <f t="shared" si="49"/>
        <v>431.79289199999999</v>
      </c>
      <c r="M199" s="11">
        <f t="shared" si="50"/>
        <v>344.41943400000002</v>
      </c>
      <c r="N199" s="11">
        <f t="shared" si="51"/>
        <v>242.33448600000003</v>
      </c>
      <c r="O199" s="11">
        <f t="shared" si="52"/>
        <v>242.33448600000003</v>
      </c>
      <c r="P199" s="11">
        <f t="shared" si="53"/>
        <v>746.23500000000001</v>
      </c>
      <c r="Q199" s="11">
        <f t="shared" si="54"/>
        <v>746.23500000000001</v>
      </c>
      <c r="R199" s="11">
        <f t="shared" si="55"/>
        <v>746.23500000000001</v>
      </c>
      <c r="S199" s="11">
        <f t="shared" si="56"/>
        <v>746.23500000000001</v>
      </c>
      <c r="T199" s="11">
        <f t="shared" si="57"/>
        <v>691.6105980000001</v>
      </c>
      <c r="U199" s="11">
        <f t="shared" si="58"/>
        <v>643.12664400000006</v>
      </c>
      <c r="V199" s="13">
        <f t="shared" si="59"/>
        <v>746.23500000000001</v>
      </c>
      <c r="X199" s="30"/>
    </row>
    <row r="200" spans="1:24" x14ac:dyDescent="0.25">
      <c r="A200" s="8">
        <v>198</v>
      </c>
      <c r="B200" s="8">
        <v>20.040700000000001</v>
      </c>
      <c r="C200" s="8">
        <v>85.118499999999997</v>
      </c>
      <c r="D200" s="8" t="s">
        <v>7</v>
      </c>
      <c r="E200" s="8" t="s">
        <v>93</v>
      </c>
      <c r="F200" s="8">
        <v>2</v>
      </c>
      <c r="G200" s="8">
        <v>305.23</v>
      </c>
      <c r="H200" s="8" t="s">
        <v>61</v>
      </c>
      <c r="I200" s="3">
        <f t="shared" si="46"/>
        <v>1.75</v>
      </c>
      <c r="J200" s="11">
        <f t="shared" si="47"/>
        <v>421.52263000000005</v>
      </c>
      <c r="K200" s="11">
        <f t="shared" si="48"/>
        <v>369.511438</v>
      </c>
      <c r="L200" s="11">
        <f t="shared" si="49"/>
        <v>309.075898</v>
      </c>
      <c r="M200" s="11">
        <f t="shared" si="50"/>
        <v>246.53427100000002</v>
      </c>
      <c r="N200" s="11">
        <f t="shared" si="51"/>
        <v>173.46220900000003</v>
      </c>
      <c r="O200" s="11">
        <f t="shared" si="52"/>
        <v>173.46220900000003</v>
      </c>
      <c r="P200" s="11">
        <f t="shared" si="53"/>
        <v>534.15250000000003</v>
      </c>
      <c r="Q200" s="11">
        <f t="shared" si="54"/>
        <v>534.15250000000003</v>
      </c>
      <c r="R200" s="11">
        <f t="shared" si="55"/>
        <v>534.15250000000003</v>
      </c>
      <c r="S200" s="11">
        <f t="shared" si="56"/>
        <v>534.15250000000003</v>
      </c>
      <c r="T200" s="11">
        <f t="shared" si="57"/>
        <v>495.05253700000009</v>
      </c>
      <c r="U200" s="11">
        <f t="shared" si="58"/>
        <v>460.34788600000002</v>
      </c>
      <c r="V200" s="13">
        <f t="shared" si="59"/>
        <v>534.15250000000003</v>
      </c>
      <c r="X200" s="30"/>
    </row>
    <row r="201" spans="1:24" x14ac:dyDescent="0.25">
      <c r="A201" s="8">
        <v>199</v>
      </c>
      <c r="B201" s="8">
        <v>20.042999999999999</v>
      </c>
      <c r="C201" s="8">
        <v>85.121399999999994</v>
      </c>
      <c r="D201" s="8" t="s">
        <v>7</v>
      </c>
      <c r="E201" s="8" t="s">
        <v>93</v>
      </c>
      <c r="F201" s="8">
        <v>2</v>
      </c>
      <c r="G201" s="8">
        <v>748.34</v>
      </c>
      <c r="H201" s="8" t="s">
        <v>61</v>
      </c>
      <c r="I201" s="3">
        <f t="shared" si="46"/>
        <v>1.75</v>
      </c>
      <c r="J201" s="11">
        <f t="shared" si="47"/>
        <v>1033.4575400000001</v>
      </c>
      <c r="K201" s="11">
        <f t="shared" si="48"/>
        <v>905.94040399999994</v>
      </c>
      <c r="L201" s="11">
        <f t="shared" si="49"/>
        <v>757.76908400000002</v>
      </c>
      <c r="M201" s="11">
        <f t="shared" si="50"/>
        <v>604.43421799999999</v>
      </c>
      <c r="N201" s="11">
        <f t="shared" si="51"/>
        <v>425.28162200000003</v>
      </c>
      <c r="O201" s="11">
        <f t="shared" si="52"/>
        <v>425.28162200000003</v>
      </c>
      <c r="P201" s="11">
        <f t="shared" si="53"/>
        <v>1309.595</v>
      </c>
      <c r="Q201" s="11">
        <f t="shared" si="54"/>
        <v>1309.595</v>
      </c>
      <c r="R201" s="11">
        <f t="shared" si="55"/>
        <v>1309.595</v>
      </c>
      <c r="S201" s="11">
        <f t="shared" si="56"/>
        <v>1309.595</v>
      </c>
      <c r="T201" s="11">
        <f t="shared" si="57"/>
        <v>1213.7326460000002</v>
      </c>
      <c r="U201" s="11">
        <f t="shared" si="58"/>
        <v>1128.6463880000001</v>
      </c>
      <c r="V201" s="13">
        <f t="shared" si="59"/>
        <v>1309.595</v>
      </c>
      <c r="X201" s="30"/>
    </row>
    <row r="202" spans="1:24" x14ac:dyDescent="0.25">
      <c r="A202" s="8">
        <v>200</v>
      </c>
      <c r="B202" s="8">
        <v>20.0398</v>
      </c>
      <c r="C202" s="8">
        <v>85.079099999999997</v>
      </c>
      <c r="D202" s="8" t="s">
        <v>7</v>
      </c>
      <c r="E202" s="8" t="s">
        <v>93</v>
      </c>
      <c r="F202" s="8">
        <v>4</v>
      </c>
      <c r="G202" s="8">
        <v>11860.6</v>
      </c>
      <c r="H202" s="8" t="s">
        <v>53</v>
      </c>
      <c r="I202" s="3">
        <f t="shared" si="46"/>
        <v>3.75</v>
      </c>
      <c r="J202" s="11">
        <f t="shared" si="47"/>
        <v>40100.688600000001</v>
      </c>
      <c r="K202" s="11">
        <f t="shared" si="48"/>
        <v>38079.642359999998</v>
      </c>
      <c r="L202" s="11">
        <f t="shared" si="49"/>
        <v>35731.243560000003</v>
      </c>
      <c r="M202" s="11">
        <f t="shared" si="50"/>
        <v>33301.00662</v>
      </c>
      <c r="N202" s="11">
        <f t="shared" si="51"/>
        <v>30461.578979999998</v>
      </c>
      <c r="O202" s="11">
        <f t="shared" si="52"/>
        <v>30461.578979999998</v>
      </c>
      <c r="P202" s="11">
        <f t="shared" si="53"/>
        <v>44477.25</v>
      </c>
      <c r="Q202" s="11">
        <f t="shared" si="54"/>
        <v>44477.25</v>
      </c>
      <c r="R202" s="11">
        <f t="shared" si="55"/>
        <v>44477.25</v>
      </c>
      <c r="S202" s="11">
        <f t="shared" si="56"/>
        <v>44477.25</v>
      </c>
      <c r="T202" s="11">
        <f t="shared" si="57"/>
        <v>42957.907140000003</v>
      </c>
      <c r="U202" s="11">
        <f t="shared" si="58"/>
        <v>41609.356919999998</v>
      </c>
      <c r="V202" s="13">
        <f t="shared" si="59"/>
        <v>44477.25</v>
      </c>
      <c r="X202" s="30"/>
    </row>
    <row r="203" spans="1:24" x14ac:dyDescent="0.25">
      <c r="A203" s="8">
        <v>201</v>
      </c>
      <c r="B203" s="8">
        <v>20.041899999999998</v>
      </c>
      <c r="C203" s="8">
        <v>85.081199999999995</v>
      </c>
      <c r="D203" s="8" t="s">
        <v>7</v>
      </c>
      <c r="E203" s="8" t="s">
        <v>93</v>
      </c>
      <c r="F203" s="8">
        <v>4</v>
      </c>
      <c r="G203" s="8">
        <v>2788.34</v>
      </c>
      <c r="H203" s="8" t="s">
        <v>53</v>
      </c>
      <c r="I203" s="3">
        <f t="shared" si="46"/>
        <v>3.75</v>
      </c>
      <c r="J203" s="11">
        <f t="shared" si="47"/>
        <v>9427.3775400000013</v>
      </c>
      <c r="K203" s="11">
        <f t="shared" si="48"/>
        <v>8952.2444040000009</v>
      </c>
      <c r="L203" s="11">
        <f t="shared" si="49"/>
        <v>8400.1530839999996</v>
      </c>
      <c r="M203" s="11">
        <f t="shared" si="50"/>
        <v>7828.8222180000002</v>
      </c>
      <c r="N203" s="11">
        <f t="shared" si="51"/>
        <v>7161.2936220000001</v>
      </c>
      <c r="O203" s="11">
        <f t="shared" si="52"/>
        <v>7161.2936220000001</v>
      </c>
      <c r="P203" s="11">
        <f t="shared" si="53"/>
        <v>10456.275000000001</v>
      </c>
      <c r="Q203" s="11">
        <f t="shared" si="54"/>
        <v>10456.275000000001</v>
      </c>
      <c r="R203" s="11">
        <f t="shared" si="55"/>
        <v>10456.275000000001</v>
      </c>
      <c r="S203" s="11">
        <f t="shared" si="56"/>
        <v>10456.275000000001</v>
      </c>
      <c r="T203" s="11">
        <f t="shared" si="57"/>
        <v>10099.088646</v>
      </c>
      <c r="U203" s="11">
        <f t="shared" si="58"/>
        <v>9782.0543880000005</v>
      </c>
      <c r="V203" s="13">
        <f t="shared" si="59"/>
        <v>10456.275000000001</v>
      </c>
      <c r="X203" s="30"/>
    </row>
    <row r="204" spans="1:24" x14ac:dyDescent="0.25">
      <c r="A204" s="8">
        <v>202</v>
      </c>
      <c r="B204" s="8">
        <v>20.040099999999999</v>
      </c>
      <c r="C204" s="8">
        <v>85.084400000000002</v>
      </c>
      <c r="D204" s="8" t="s">
        <v>7</v>
      </c>
      <c r="E204" s="8" t="s">
        <v>93</v>
      </c>
      <c r="F204" s="8">
        <v>4</v>
      </c>
      <c r="G204" s="8">
        <v>4364.3599999999997</v>
      </c>
      <c r="H204" s="8" t="s">
        <v>53</v>
      </c>
      <c r="I204" s="3">
        <f t="shared" si="46"/>
        <v>3.75</v>
      </c>
      <c r="J204" s="11">
        <f t="shared" si="47"/>
        <v>14755.901159999999</v>
      </c>
      <c r="K204" s="11">
        <f t="shared" si="48"/>
        <v>14012.214215999998</v>
      </c>
      <c r="L204" s="11">
        <f t="shared" si="49"/>
        <v>13148.070935999998</v>
      </c>
      <c r="M204" s="11">
        <f t="shared" si="50"/>
        <v>12253.813571999999</v>
      </c>
      <c r="N204" s="11">
        <f t="shared" si="51"/>
        <v>11208.985787999998</v>
      </c>
      <c r="O204" s="11">
        <f t="shared" si="52"/>
        <v>11208.985787999998</v>
      </c>
      <c r="P204" s="11">
        <f t="shared" si="53"/>
        <v>16366.349999999999</v>
      </c>
      <c r="Q204" s="11">
        <f t="shared" si="54"/>
        <v>16366.349999999999</v>
      </c>
      <c r="R204" s="11">
        <f t="shared" si="55"/>
        <v>16366.349999999999</v>
      </c>
      <c r="S204" s="11">
        <f t="shared" si="56"/>
        <v>16366.349999999999</v>
      </c>
      <c r="T204" s="11">
        <f t="shared" si="57"/>
        <v>15807.275484</v>
      </c>
      <c r="U204" s="11">
        <f t="shared" si="58"/>
        <v>15311.047751999999</v>
      </c>
      <c r="V204" s="13">
        <f t="shared" si="59"/>
        <v>16366.349999999999</v>
      </c>
      <c r="X204" s="30"/>
    </row>
    <row r="205" spans="1:24" x14ac:dyDescent="0.25">
      <c r="A205" s="8">
        <v>203</v>
      </c>
      <c r="B205" s="8">
        <v>20.052099999999999</v>
      </c>
      <c r="C205" s="8">
        <v>85.076700000000002</v>
      </c>
      <c r="D205" s="8" t="s">
        <v>7</v>
      </c>
      <c r="E205" s="8" t="s">
        <v>93</v>
      </c>
      <c r="F205" s="8">
        <v>2.5</v>
      </c>
      <c r="G205" s="8">
        <v>3751.28</v>
      </c>
      <c r="H205" s="8" t="s">
        <v>53</v>
      </c>
      <c r="I205" s="3">
        <f t="shared" si="46"/>
        <v>2.25</v>
      </c>
      <c r="J205" s="11">
        <f t="shared" si="47"/>
        <v>7056.1576800000003</v>
      </c>
      <c r="K205" s="11">
        <f t="shared" si="48"/>
        <v>6416.9395679999998</v>
      </c>
      <c r="L205" s="11">
        <f t="shared" si="49"/>
        <v>5674.1861280000003</v>
      </c>
      <c r="M205" s="11">
        <f t="shared" si="50"/>
        <v>4905.5488560000003</v>
      </c>
      <c r="N205" s="11">
        <f t="shared" si="51"/>
        <v>4007.4924240000005</v>
      </c>
      <c r="O205" s="11">
        <f t="shared" si="52"/>
        <v>4007.4924240000005</v>
      </c>
      <c r="P205" s="11">
        <f t="shared" si="53"/>
        <v>8440.380000000001</v>
      </c>
      <c r="Q205" s="11">
        <f t="shared" si="54"/>
        <v>8440.380000000001</v>
      </c>
      <c r="R205" s="11">
        <f t="shared" si="55"/>
        <v>8440.380000000001</v>
      </c>
      <c r="S205" s="11">
        <f t="shared" si="56"/>
        <v>8440.380000000001</v>
      </c>
      <c r="T205" s="11">
        <f t="shared" si="57"/>
        <v>7959.8410320000012</v>
      </c>
      <c r="U205" s="11">
        <f t="shared" si="58"/>
        <v>7533.3204960000003</v>
      </c>
      <c r="V205" s="13">
        <f t="shared" si="59"/>
        <v>8440.380000000001</v>
      </c>
      <c r="X205" s="30"/>
    </row>
    <row r="206" spans="1:24" x14ac:dyDescent="0.25">
      <c r="A206" s="8">
        <v>204</v>
      </c>
      <c r="B206" s="8">
        <v>20.055499999999999</v>
      </c>
      <c r="C206" s="8">
        <v>85.077100000000002</v>
      </c>
      <c r="D206" s="8" t="s">
        <v>7</v>
      </c>
      <c r="E206" s="8" t="s">
        <v>93</v>
      </c>
      <c r="F206" s="8">
        <v>3</v>
      </c>
      <c r="G206" s="8">
        <v>10704.14</v>
      </c>
      <c r="H206" s="8" t="s">
        <v>53</v>
      </c>
      <c r="I206" s="3">
        <f t="shared" si="46"/>
        <v>2.75</v>
      </c>
      <c r="J206" s="11">
        <f t="shared" si="47"/>
        <v>25486.557339999999</v>
      </c>
      <c r="K206" s="11">
        <f t="shared" si="48"/>
        <v>23662.571883999997</v>
      </c>
      <c r="L206" s="11">
        <f t="shared" si="49"/>
        <v>21543.152163999999</v>
      </c>
      <c r="M206" s="11">
        <f t="shared" si="50"/>
        <v>19349.873877999999</v>
      </c>
      <c r="N206" s="11">
        <f t="shared" si="51"/>
        <v>16787.302761999999</v>
      </c>
      <c r="O206" s="11">
        <f t="shared" si="52"/>
        <v>16787.302761999999</v>
      </c>
      <c r="P206" s="11">
        <f t="shared" si="53"/>
        <v>29436.384999999998</v>
      </c>
      <c r="Q206" s="11">
        <f t="shared" si="54"/>
        <v>29436.384999999998</v>
      </c>
      <c r="R206" s="11">
        <f t="shared" si="55"/>
        <v>29436.384999999998</v>
      </c>
      <c r="S206" s="11">
        <f t="shared" si="56"/>
        <v>29436.384999999998</v>
      </c>
      <c r="T206" s="11">
        <f t="shared" si="57"/>
        <v>28065.184666000001</v>
      </c>
      <c r="U206" s="11">
        <f t="shared" si="58"/>
        <v>26848.123947999997</v>
      </c>
      <c r="V206" s="13">
        <f t="shared" si="59"/>
        <v>29436.384999999998</v>
      </c>
      <c r="X206" s="30"/>
    </row>
    <row r="207" spans="1:24" x14ac:dyDescent="0.25">
      <c r="A207" s="8">
        <v>205</v>
      </c>
      <c r="B207" s="8">
        <v>20.053899999999999</v>
      </c>
      <c r="C207" s="8">
        <v>85.077100000000002</v>
      </c>
      <c r="D207" s="8" t="s">
        <v>7</v>
      </c>
      <c r="E207" s="8" t="s">
        <v>93</v>
      </c>
      <c r="F207" s="8">
        <v>2</v>
      </c>
      <c r="G207" s="8">
        <v>976.67</v>
      </c>
      <c r="H207" s="8" t="s">
        <v>53</v>
      </c>
      <c r="I207" s="3">
        <f t="shared" si="46"/>
        <v>1.75</v>
      </c>
      <c r="J207" s="11">
        <f t="shared" si="47"/>
        <v>1348.7812699999999</v>
      </c>
      <c r="K207" s="11">
        <f t="shared" si="48"/>
        <v>1182.3567019999998</v>
      </c>
      <c r="L207" s="11">
        <f t="shared" si="49"/>
        <v>988.97604199999989</v>
      </c>
      <c r="M207" s="11">
        <f t="shared" si="50"/>
        <v>788.856359</v>
      </c>
      <c r="N207" s="11">
        <f t="shared" si="51"/>
        <v>555.041561</v>
      </c>
      <c r="O207" s="11">
        <f t="shared" si="52"/>
        <v>555.041561</v>
      </c>
      <c r="P207" s="11">
        <f t="shared" si="53"/>
        <v>1709.1724999999999</v>
      </c>
      <c r="Q207" s="11">
        <f t="shared" si="54"/>
        <v>1709.1724999999999</v>
      </c>
      <c r="R207" s="11">
        <f t="shared" si="55"/>
        <v>1709.1724999999999</v>
      </c>
      <c r="S207" s="11">
        <f t="shared" si="56"/>
        <v>1709.1724999999999</v>
      </c>
      <c r="T207" s="11">
        <f t="shared" si="57"/>
        <v>1584.0610730000001</v>
      </c>
      <c r="U207" s="11">
        <f t="shared" si="58"/>
        <v>1473.013694</v>
      </c>
      <c r="V207" s="13">
        <f t="shared" si="59"/>
        <v>1709.1724999999999</v>
      </c>
      <c r="X207" s="30"/>
    </row>
    <row r="208" spans="1:24" x14ac:dyDescent="0.25">
      <c r="A208" s="8">
        <v>206</v>
      </c>
      <c r="B208" s="8">
        <v>20.0534</v>
      </c>
      <c r="C208" s="8">
        <v>85.076400000000007</v>
      </c>
      <c r="D208" s="8" t="s">
        <v>7</v>
      </c>
      <c r="E208" s="8" t="s">
        <v>93</v>
      </c>
      <c r="F208" s="8">
        <v>2</v>
      </c>
      <c r="G208" s="8">
        <v>647.61</v>
      </c>
      <c r="H208" s="8" t="s">
        <v>53</v>
      </c>
      <c r="I208" s="3">
        <f t="shared" si="46"/>
        <v>1.75</v>
      </c>
      <c r="J208" s="11">
        <f t="shared" si="47"/>
        <v>894.34941000000003</v>
      </c>
      <c r="K208" s="11">
        <f t="shared" si="48"/>
        <v>783.996666</v>
      </c>
      <c r="L208" s="11">
        <f t="shared" si="49"/>
        <v>655.76988599999993</v>
      </c>
      <c r="M208" s="11">
        <f t="shared" si="50"/>
        <v>523.07459700000004</v>
      </c>
      <c r="N208" s="11">
        <f t="shared" si="51"/>
        <v>368.03676300000001</v>
      </c>
      <c r="O208" s="11">
        <f t="shared" si="52"/>
        <v>368.03676300000001</v>
      </c>
      <c r="P208" s="11">
        <f t="shared" si="53"/>
        <v>1133.3175000000001</v>
      </c>
      <c r="Q208" s="11">
        <f t="shared" si="54"/>
        <v>1133.3175000000001</v>
      </c>
      <c r="R208" s="11">
        <f t="shared" si="55"/>
        <v>1133.3175000000001</v>
      </c>
      <c r="S208" s="11">
        <f t="shared" si="56"/>
        <v>1133.3175000000001</v>
      </c>
      <c r="T208" s="11">
        <f t="shared" si="57"/>
        <v>1050.358659</v>
      </c>
      <c r="U208" s="11">
        <f t="shared" si="58"/>
        <v>976.72540200000003</v>
      </c>
      <c r="V208" s="13">
        <f t="shared" si="59"/>
        <v>1133.3175000000001</v>
      </c>
      <c r="X208" s="30"/>
    </row>
    <row r="209" spans="1:24" x14ac:dyDescent="0.25">
      <c r="A209" s="8">
        <v>207</v>
      </c>
      <c r="B209" s="8">
        <v>20.0578</v>
      </c>
      <c r="C209" s="8">
        <v>85.084299999999999</v>
      </c>
      <c r="D209" s="8" t="s">
        <v>7</v>
      </c>
      <c r="E209" s="8" t="s">
        <v>93</v>
      </c>
      <c r="F209" s="8">
        <v>3</v>
      </c>
      <c r="G209" s="8">
        <v>3409.2</v>
      </c>
      <c r="H209" s="8" t="s">
        <v>53</v>
      </c>
      <c r="I209" s="3">
        <f t="shared" si="46"/>
        <v>2.75</v>
      </c>
      <c r="J209" s="11">
        <f t="shared" si="47"/>
        <v>8117.3052000000007</v>
      </c>
      <c r="K209" s="11">
        <f t="shared" si="48"/>
        <v>7536.3775199999991</v>
      </c>
      <c r="L209" s="11">
        <f t="shared" si="49"/>
        <v>6861.3559199999991</v>
      </c>
      <c r="M209" s="11">
        <f t="shared" si="50"/>
        <v>6162.8108400000001</v>
      </c>
      <c r="N209" s="11">
        <f t="shared" si="51"/>
        <v>5346.6483600000001</v>
      </c>
      <c r="O209" s="11">
        <f t="shared" si="52"/>
        <v>5346.6483600000001</v>
      </c>
      <c r="P209" s="11">
        <f t="shared" si="53"/>
        <v>9375.2999999999993</v>
      </c>
      <c r="Q209" s="11">
        <f t="shared" si="54"/>
        <v>9375.2999999999993</v>
      </c>
      <c r="R209" s="11">
        <f t="shared" si="55"/>
        <v>9375.2999999999993</v>
      </c>
      <c r="S209" s="11">
        <f t="shared" si="56"/>
        <v>9375.2999999999993</v>
      </c>
      <c r="T209" s="11">
        <f t="shared" si="57"/>
        <v>8938.5814800000007</v>
      </c>
      <c r="U209" s="11">
        <f t="shared" si="58"/>
        <v>8550.9554399999997</v>
      </c>
      <c r="V209" s="13">
        <f t="shared" si="59"/>
        <v>9375.2999999999993</v>
      </c>
      <c r="X209" s="30"/>
    </row>
    <row r="210" spans="1:24" x14ac:dyDescent="0.25">
      <c r="A210" s="8">
        <v>208</v>
      </c>
      <c r="B210" s="8">
        <v>20.061699999999998</v>
      </c>
      <c r="C210" s="8">
        <v>85.087000000000003</v>
      </c>
      <c r="D210" s="8" t="s">
        <v>7</v>
      </c>
      <c r="E210" s="8" t="s">
        <v>93</v>
      </c>
      <c r="F210" s="8">
        <v>3</v>
      </c>
      <c r="G210" s="8">
        <v>10202.459999999999</v>
      </c>
      <c r="H210" s="8" t="s">
        <v>53</v>
      </c>
      <c r="I210" s="3">
        <f t="shared" si="46"/>
        <v>2.75</v>
      </c>
      <c r="J210" s="11">
        <f t="shared" si="47"/>
        <v>24292.057260000001</v>
      </c>
      <c r="K210" s="11">
        <f t="shared" si="48"/>
        <v>22553.558075999998</v>
      </c>
      <c r="L210" s="11">
        <f t="shared" si="49"/>
        <v>20533.470995999996</v>
      </c>
      <c r="M210" s="11">
        <f t="shared" si="50"/>
        <v>18442.986942</v>
      </c>
      <c r="N210" s="11">
        <f t="shared" si="51"/>
        <v>16000.518017999999</v>
      </c>
      <c r="O210" s="11">
        <f t="shared" si="52"/>
        <v>16000.518017999999</v>
      </c>
      <c r="P210" s="11">
        <f t="shared" si="53"/>
        <v>28056.764999999999</v>
      </c>
      <c r="Q210" s="11">
        <f t="shared" si="54"/>
        <v>28056.764999999999</v>
      </c>
      <c r="R210" s="11">
        <f t="shared" si="55"/>
        <v>28056.764999999999</v>
      </c>
      <c r="S210" s="11">
        <f t="shared" si="56"/>
        <v>28056.764999999999</v>
      </c>
      <c r="T210" s="11">
        <f t="shared" si="57"/>
        <v>26749.829873999999</v>
      </c>
      <c r="U210" s="11">
        <f t="shared" si="58"/>
        <v>25589.810171999998</v>
      </c>
      <c r="V210" s="13">
        <f t="shared" si="59"/>
        <v>28056.764999999999</v>
      </c>
      <c r="X210" s="30"/>
    </row>
    <row r="211" spans="1:24" x14ac:dyDescent="0.25">
      <c r="A211" s="8">
        <v>209</v>
      </c>
      <c r="B211" s="8">
        <v>20.0626</v>
      </c>
      <c r="C211" s="8">
        <v>85.088499999999996</v>
      </c>
      <c r="D211" s="8" t="s">
        <v>7</v>
      </c>
      <c r="E211" s="8" t="s">
        <v>93</v>
      </c>
      <c r="F211" s="8">
        <v>3</v>
      </c>
      <c r="G211" s="8">
        <v>11347.36</v>
      </c>
      <c r="H211" s="8" t="s">
        <v>53</v>
      </c>
      <c r="I211" s="3">
        <f t="shared" si="46"/>
        <v>2.75</v>
      </c>
      <c r="J211" s="11">
        <f t="shared" si="47"/>
        <v>27018.064160000005</v>
      </c>
      <c r="K211" s="11">
        <f t="shared" si="48"/>
        <v>25084.474016</v>
      </c>
      <c r="L211" s="11">
        <f t="shared" si="49"/>
        <v>22837.696736000002</v>
      </c>
      <c r="M211" s="11">
        <f t="shared" si="50"/>
        <v>20512.622672000001</v>
      </c>
      <c r="N211" s="11">
        <f t="shared" si="51"/>
        <v>17796.064688000002</v>
      </c>
      <c r="O211" s="11">
        <f t="shared" si="52"/>
        <v>17796.064688000002</v>
      </c>
      <c r="P211" s="11">
        <f t="shared" si="53"/>
        <v>31205.24</v>
      </c>
      <c r="Q211" s="11">
        <f t="shared" si="54"/>
        <v>31205.24</v>
      </c>
      <c r="R211" s="11">
        <f t="shared" si="55"/>
        <v>31205.24</v>
      </c>
      <c r="S211" s="11">
        <f t="shared" si="56"/>
        <v>31205.24</v>
      </c>
      <c r="T211" s="11">
        <f t="shared" si="57"/>
        <v>29751.643184000004</v>
      </c>
      <c r="U211" s="11">
        <f t="shared" si="58"/>
        <v>28461.448352000003</v>
      </c>
      <c r="V211" s="13">
        <f t="shared" si="59"/>
        <v>31205.24</v>
      </c>
      <c r="X211" s="30"/>
    </row>
    <row r="212" spans="1:24" x14ac:dyDescent="0.25">
      <c r="A212" s="8">
        <v>210</v>
      </c>
      <c r="B212" s="8">
        <v>20.0624</v>
      </c>
      <c r="C212" s="8">
        <v>85.090800000000002</v>
      </c>
      <c r="D212" s="8" t="s">
        <v>7</v>
      </c>
      <c r="E212" s="8" t="s">
        <v>93</v>
      </c>
      <c r="F212" s="8">
        <v>3</v>
      </c>
      <c r="G212" s="8">
        <v>3689.03</v>
      </c>
      <c r="H212" s="8" t="s">
        <v>53</v>
      </c>
      <c r="I212" s="3">
        <f t="shared" si="46"/>
        <v>2.75</v>
      </c>
      <c r="J212" s="11">
        <f t="shared" si="47"/>
        <v>8783.5804300000018</v>
      </c>
      <c r="K212" s="11">
        <f t="shared" si="48"/>
        <v>8154.9697180000003</v>
      </c>
      <c r="L212" s="11">
        <f t="shared" si="49"/>
        <v>7424.5417779999998</v>
      </c>
      <c r="M212" s="11">
        <f t="shared" si="50"/>
        <v>6668.6595310000002</v>
      </c>
      <c r="N212" s="11">
        <f t="shared" si="51"/>
        <v>5785.5057490000008</v>
      </c>
      <c r="O212" s="11">
        <f t="shared" si="52"/>
        <v>5785.5057490000008</v>
      </c>
      <c r="P212" s="11">
        <f t="shared" si="53"/>
        <v>10144.8325</v>
      </c>
      <c r="Q212" s="11">
        <f t="shared" si="54"/>
        <v>10144.8325</v>
      </c>
      <c r="R212" s="11">
        <f t="shared" si="55"/>
        <v>10144.8325</v>
      </c>
      <c r="S212" s="11">
        <f t="shared" si="56"/>
        <v>10144.8325</v>
      </c>
      <c r="T212" s="11">
        <f t="shared" si="57"/>
        <v>9672.2677570000014</v>
      </c>
      <c r="U212" s="11">
        <f t="shared" si="58"/>
        <v>9252.8250459999999</v>
      </c>
      <c r="V212" s="13">
        <f t="shared" si="59"/>
        <v>10144.8325</v>
      </c>
      <c r="X212" s="30"/>
    </row>
    <row r="213" spans="1:24" x14ac:dyDescent="0.25">
      <c r="A213" s="8">
        <v>211</v>
      </c>
      <c r="B213" s="8">
        <v>20.0639</v>
      </c>
      <c r="C213" s="8">
        <v>85.091700000000003</v>
      </c>
      <c r="D213" s="8" t="s">
        <v>7</v>
      </c>
      <c r="E213" s="8" t="s">
        <v>93</v>
      </c>
      <c r="F213" s="8">
        <v>4</v>
      </c>
      <c r="G213" s="8">
        <v>2733.71</v>
      </c>
      <c r="H213" s="8" t="s">
        <v>53</v>
      </c>
      <c r="I213" s="3">
        <f t="shared" si="46"/>
        <v>3.75</v>
      </c>
      <c r="J213" s="11">
        <f t="shared" si="47"/>
        <v>9242.6735100000005</v>
      </c>
      <c r="K213" s="11">
        <f t="shared" si="48"/>
        <v>8776.8493259999996</v>
      </c>
      <c r="L213" s="11">
        <f t="shared" si="49"/>
        <v>8235.5747460000002</v>
      </c>
      <c r="M213" s="11">
        <f t="shared" si="50"/>
        <v>7675.4375669999999</v>
      </c>
      <c r="N213" s="11">
        <f t="shared" si="51"/>
        <v>7020.9873929999994</v>
      </c>
      <c r="O213" s="11">
        <f t="shared" si="52"/>
        <v>7020.9873929999994</v>
      </c>
      <c r="P213" s="11">
        <f t="shared" si="53"/>
        <v>10251.4125</v>
      </c>
      <c r="Q213" s="11">
        <f t="shared" si="54"/>
        <v>10251.4125</v>
      </c>
      <c r="R213" s="11">
        <f t="shared" si="55"/>
        <v>10251.4125</v>
      </c>
      <c r="S213" s="11">
        <f t="shared" si="56"/>
        <v>10251.4125</v>
      </c>
      <c r="T213" s="11">
        <f t="shared" si="57"/>
        <v>9901.2242490000008</v>
      </c>
      <c r="U213" s="11">
        <f t="shared" si="58"/>
        <v>9590.4014220000008</v>
      </c>
      <c r="V213" s="13">
        <f t="shared" si="59"/>
        <v>10251.4125</v>
      </c>
      <c r="X213" s="30"/>
    </row>
    <row r="214" spans="1:24" x14ac:dyDescent="0.25">
      <c r="A214" s="8">
        <v>212</v>
      </c>
      <c r="B214" s="8">
        <v>20.0656</v>
      </c>
      <c r="C214" s="8">
        <v>85.0916</v>
      </c>
      <c r="D214" s="8" t="s">
        <v>7</v>
      </c>
      <c r="E214" s="8" t="s">
        <v>93</v>
      </c>
      <c r="F214" s="8">
        <v>4</v>
      </c>
      <c r="G214" s="8">
        <v>6292.68</v>
      </c>
      <c r="H214" s="8" t="s">
        <v>53</v>
      </c>
      <c r="I214" s="3">
        <f t="shared" si="46"/>
        <v>3.75</v>
      </c>
      <c r="J214" s="11">
        <f t="shared" si="47"/>
        <v>21275.551080000001</v>
      </c>
      <c r="K214" s="11">
        <f t="shared" si="48"/>
        <v>20203.278408000002</v>
      </c>
      <c r="L214" s="11">
        <f t="shared" si="49"/>
        <v>18957.327767999999</v>
      </c>
      <c r="M214" s="11">
        <f t="shared" si="50"/>
        <v>17667.957636000003</v>
      </c>
      <c r="N214" s="11">
        <f t="shared" si="51"/>
        <v>16161.490044</v>
      </c>
      <c r="O214" s="11">
        <f t="shared" si="52"/>
        <v>16161.490044</v>
      </c>
      <c r="P214" s="11">
        <f t="shared" si="53"/>
        <v>23597.550000000003</v>
      </c>
      <c r="Q214" s="11">
        <f t="shared" si="54"/>
        <v>23597.550000000003</v>
      </c>
      <c r="R214" s="11">
        <f t="shared" si="55"/>
        <v>23597.550000000003</v>
      </c>
      <c r="S214" s="11">
        <f t="shared" si="56"/>
        <v>23597.550000000003</v>
      </c>
      <c r="T214" s="11">
        <f t="shared" si="57"/>
        <v>22791.457692000004</v>
      </c>
      <c r="U214" s="11">
        <f t="shared" si="58"/>
        <v>22075.979976000002</v>
      </c>
      <c r="V214" s="13">
        <f t="shared" si="59"/>
        <v>23597.550000000003</v>
      </c>
      <c r="X214" s="30"/>
    </row>
    <row r="215" spans="1:24" x14ac:dyDescent="0.25">
      <c r="A215" s="8">
        <v>213</v>
      </c>
      <c r="B215" s="8">
        <v>20.066600000000001</v>
      </c>
      <c r="C215" s="8">
        <v>85.090999999999994</v>
      </c>
      <c r="D215" s="8" t="s">
        <v>7</v>
      </c>
      <c r="E215" s="8" t="s">
        <v>93</v>
      </c>
      <c r="F215" s="8">
        <v>2</v>
      </c>
      <c r="G215" s="8">
        <v>1139.55</v>
      </c>
      <c r="H215" s="8" t="s">
        <v>53</v>
      </c>
      <c r="I215" s="3">
        <f t="shared" si="46"/>
        <v>1.75</v>
      </c>
      <c r="J215" s="11">
        <f t="shared" si="47"/>
        <v>1573.7185500000001</v>
      </c>
      <c r="K215" s="11">
        <f t="shared" si="48"/>
        <v>1379.5392299999999</v>
      </c>
      <c r="L215" s="11">
        <f t="shared" si="49"/>
        <v>1153.90833</v>
      </c>
      <c r="M215" s="11">
        <f t="shared" si="50"/>
        <v>920.41453499999989</v>
      </c>
      <c r="N215" s="11">
        <f t="shared" si="51"/>
        <v>647.60626500000001</v>
      </c>
      <c r="O215" s="11">
        <f t="shared" si="52"/>
        <v>647.60626500000001</v>
      </c>
      <c r="P215" s="11">
        <f t="shared" si="53"/>
        <v>1994.2124999999999</v>
      </c>
      <c r="Q215" s="11">
        <f t="shared" si="54"/>
        <v>1994.2124999999999</v>
      </c>
      <c r="R215" s="11">
        <f t="shared" si="55"/>
        <v>1994.2124999999999</v>
      </c>
      <c r="S215" s="11">
        <f t="shared" si="56"/>
        <v>1994.2124999999999</v>
      </c>
      <c r="T215" s="11">
        <f t="shared" si="57"/>
        <v>1848.2361450000001</v>
      </c>
      <c r="U215" s="11">
        <f t="shared" si="58"/>
        <v>1718.66931</v>
      </c>
      <c r="V215" s="13">
        <f t="shared" si="59"/>
        <v>1994.2124999999999</v>
      </c>
      <c r="X215" s="30"/>
    </row>
    <row r="216" spans="1:24" x14ac:dyDescent="0.25">
      <c r="A216" s="8">
        <v>214</v>
      </c>
      <c r="B216" s="8">
        <v>20.055399999999999</v>
      </c>
      <c r="C216" s="8">
        <v>85.101100000000002</v>
      </c>
      <c r="D216" s="8" t="s">
        <v>7</v>
      </c>
      <c r="E216" s="8" t="s">
        <v>93</v>
      </c>
      <c r="F216" s="8">
        <v>2</v>
      </c>
      <c r="G216" s="8">
        <v>676.09</v>
      </c>
      <c r="H216" s="8" t="s">
        <v>53</v>
      </c>
      <c r="I216" s="3">
        <f t="shared" si="46"/>
        <v>1.75</v>
      </c>
      <c r="J216" s="11">
        <f t="shared" si="47"/>
        <v>933.68029000000001</v>
      </c>
      <c r="K216" s="11">
        <f t="shared" si="48"/>
        <v>818.47455400000001</v>
      </c>
      <c r="L216" s="11">
        <f t="shared" si="49"/>
        <v>684.60873400000003</v>
      </c>
      <c r="M216" s="11">
        <f t="shared" si="50"/>
        <v>546.07789300000002</v>
      </c>
      <c r="N216" s="11">
        <f t="shared" si="51"/>
        <v>384.22194700000006</v>
      </c>
      <c r="O216" s="11">
        <f t="shared" si="52"/>
        <v>384.22194700000006</v>
      </c>
      <c r="P216" s="11">
        <f t="shared" si="53"/>
        <v>1183.1575</v>
      </c>
      <c r="Q216" s="11">
        <f t="shared" si="54"/>
        <v>1183.1575</v>
      </c>
      <c r="R216" s="11">
        <f t="shared" si="55"/>
        <v>1183.1575</v>
      </c>
      <c r="S216" s="11">
        <f t="shared" si="56"/>
        <v>1183.1575</v>
      </c>
      <c r="T216" s="11">
        <f t="shared" si="57"/>
        <v>1096.550371</v>
      </c>
      <c r="U216" s="11">
        <f t="shared" si="58"/>
        <v>1019.678938</v>
      </c>
      <c r="V216" s="13">
        <f t="shared" si="59"/>
        <v>1183.1575</v>
      </c>
      <c r="X216" s="30"/>
    </row>
    <row r="217" spans="1:24" x14ac:dyDescent="0.25">
      <c r="A217" s="8">
        <v>215</v>
      </c>
      <c r="B217" s="8">
        <v>20.0532</v>
      </c>
      <c r="C217" s="8">
        <v>85.096400000000003</v>
      </c>
      <c r="D217" s="8" t="s">
        <v>7</v>
      </c>
      <c r="E217" s="8" t="s">
        <v>93</v>
      </c>
      <c r="F217" s="8">
        <v>3</v>
      </c>
      <c r="G217" s="8">
        <v>1629.71</v>
      </c>
      <c r="H217" s="8" t="s">
        <v>53</v>
      </c>
      <c r="I217" s="3">
        <f t="shared" si="46"/>
        <v>2.75</v>
      </c>
      <c r="J217" s="11">
        <f t="shared" si="47"/>
        <v>3880.3395100000002</v>
      </c>
      <c r="K217" s="11">
        <f t="shared" si="48"/>
        <v>3602.6369260000001</v>
      </c>
      <c r="L217" s="11">
        <f t="shared" si="49"/>
        <v>3279.954346</v>
      </c>
      <c r="M217" s="11">
        <f t="shared" si="50"/>
        <v>2946.0267670000003</v>
      </c>
      <c r="N217" s="11">
        <f t="shared" si="51"/>
        <v>2555.8741930000001</v>
      </c>
      <c r="O217" s="11">
        <f t="shared" si="52"/>
        <v>2555.8741930000001</v>
      </c>
      <c r="P217" s="11">
        <f t="shared" si="53"/>
        <v>4481.7025000000003</v>
      </c>
      <c r="Q217" s="11">
        <f t="shared" si="54"/>
        <v>4481.7025000000003</v>
      </c>
      <c r="R217" s="11">
        <f t="shared" si="55"/>
        <v>4481.7025000000003</v>
      </c>
      <c r="S217" s="11">
        <f t="shared" si="56"/>
        <v>4481.7025000000003</v>
      </c>
      <c r="T217" s="11">
        <f t="shared" si="57"/>
        <v>4272.9366490000002</v>
      </c>
      <c r="U217" s="11">
        <f t="shared" si="58"/>
        <v>4087.6386219999999</v>
      </c>
      <c r="V217" s="13">
        <f t="shared" si="59"/>
        <v>4481.7025000000003</v>
      </c>
      <c r="X217" s="30"/>
    </row>
    <row r="218" spans="1:24" x14ac:dyDescent="0.25">
      <c r="A218" s="8">
        <v>216</v>
      </c>
      <c r="B218" s="8">
        <v>20.049199999999999</v>
      </c>
      <c r="C218" s="8">
        <v>85.095500000000001</v>
      </c>
      <c r="D218" s="8" t="s">
        <v>7</v>
      </c>
      <c r="E218" s="8" t="s">
        <v>93</v>
      </c>
      <c r="F218" s="8">
        <v>3</v>
      </c>
      <c r="G218" s="8">
        <v>1447.74</v>
      </c>
      <c r="H218" s="8" t="s">
        <v>53</v>
      </c>
      <c r="I218" s="3">
        <f t="shared" si="46"/>
        <v>2.75</v>
      </c>
      <c r="J218" s="11">
        <f t="shared" si="47"/>
        <v>3447.0689400000006</v>
      </c>
      <c r="K218" s="11">
        <f t="shared" si="48"/>
        <v>3200.3740439999997</v>
      </c>
      <c r="L218" s="11">
        <f t="shared" si="49"/>
        <v>2913.721524</v>
      </c>
      <c r="M218" s="11">
        <f t="shared" si="50"/>
        <v>2617.0795980000003</v>
      </c>
      <c r="N218" s="11">
        <f t="shared" si="51"/>
        <v>2270.4906420000002</v>
      </c>
      <c r="O218" s="11">
        <f t="shared" si="52"/>
        <v>2270.4906420000002</v>
      </c>
      <c r="P218" s="11">
        <f t="shared" si="53"/>
        <v>3981.2849999999999</v>
      </c>
      <c r="Q218" s="11">
        <f t="shared" si="54"/>
        <v>3981.2849999999999</v>
      </c>
      <c r="R218" s="11">
        <f t="shared" si="55"/>
        <v>3981.2849999999999</v>
      </c>
      <c r="S218" s="11">
        <f t="shared" si="56"/>
        <v>3981.2849999999999</v>
      </c>
      <c r="T218" s="11">
        <f t="shared" si="57"/>
        <v>3795.829506</v>
      </c>
      <c r="U218" s="11">
        <f t="shared" si="58"/>
        <v>3631.2214680000002</v>
      </c>
      <c r="V218" s="13">
        <f t="shared" si="59"/>
        <v>3981.2849999999999</v>
      </c>
      <c r="X218" s="30"/>
    </row>
    <row r="219" spans="1:24" x14ac:dyDescent="0.25">
      <c r="A219" s="8">
        <v>217</v>
      </c>
      <c r="B219" s="8">
        <v>20.021000000000001</v>
      </c>
      <c r="C219" s="8">
        <v>85.0715</v>
      </c>
      <c r="D219" s="8" t="s">
        <v>7</v>
      </c>
      <c r="E219" s="8" t="s">
        <v>93</v>
      </c>
      <c r="F219" s="8">
        <v>4</v>
      </c>
      <c r="G219" s="8">
        <v>6185.89</v>
      </c>
      <c r="H219" s="8" t="s">
        <v>56</v>
      </c>
      <c r="I219" s="3">
        <f t="shared" si="46"/>
        <v>3.75</v>
      </c>
      <c r="J219" s="11">
        <f t="shared" si="47"/>
        <v>20914.494090000004</v>
      </c>
      <c r="K219" s="11">
        <f t="shared" si="48"/>
        <v>19860.418433999999</v>
      </c>
      <c r="L219" s="11">
        <f t="shared" si="49"/>
        <v>18635.612214000001</v>
      </c>
      <c r="M219" s="11">
        <f t="shared" si="50"/>
        <v>17368.123353000003</v>
      </c>
      <c r="N219" s="11">
        <f t="shared" si="51"/>
        <v>15887.221287</v>
      </c>
      <c r="O219" s="11">
        <f t="shared" si="52"/>
        <v>15887.221287</v>
      </c>
      <c r="P219" s="11">
        <f t="shared" si="53"/>
        <v>23197.087500000001</v>
      </c>
      <c r="Q219" s="11">
        <f t="shared" si="54"/>
        <v>23197.087500000001</v>
      </c>
      <c r="R219" s="11">
        <f t="shared" si="55"/>
        <v>23197.087500000001</v>
      </c>
      <c r="S219" s="11">
        <f t="shared" si="56"/>
        <v>23197.087500000001</v>
      </c>
      <c r="T219" s="11">
        <f t="shared" si="57"/>
        <v>22404.674991000004</v>
      </c>
      <c r="U219" s="11">
        <f t="shared" si="58"/>
        <v>21701.339298000003</v>
      </c>
      <c r="V219" s="13">
        <f t="shared" si="59"/>
        <v>23197.087500000001</v>
      </c>
      <c r="X219" s="30"/>
    </row>
    <row r="220" spans="1:24" x14ac:dyDescent="0.25">
      <c r="A220" s="8">
        <v>218</v>
      </c>
      <c r="B220" s="8">
        <v>20.023</v>
      </c>
      <c r="C220" s="8">
        <v>85.0779</v>
      </c>
      <c r="D220" s="8" t="s">
        <v>7</v>
      </c>
      <c r="E220" s="8" t="s">
        <v>93</v>
      </c>
      <c r="F220" s="8">
        <v>4</v>
      </c>
      <c r="G220" s="8">
        <v>6139.27</v>
      </c>
      <c r="H220" s="8" t="s">
        <v>56</v>
      </c>
      <c r="I220" s="3">
        <f t="shared" si="46"/>
        <v>3.75</v>
      </c>
      <c r="J220" s="11">
        <f t="shared" si="47"/>
        <v>20756.871870000003</v>
      </c>
      <c r="K220" s="11">
        <f t="shared" si="48"/>
        <v>19710.740261999999</v>
      </c>
      <c r="L220" s="11">
        <f t="shared" si="49"/>
        <v>18495.164801999999</v>
      </c>
      <c r="M220" s="11">
        <f t="shared" si="50"/>
        <v>17237.228379</v>
      </c>
      <c r="N220" s="11">
        <f t="shared" si="51"/>
        <v>15767.487141</v>
      </c>
      <c r="O220" s="11">
        <f t="shared" si="52"/>
        <v>15767.487141</v>
      </c>
      <c r="P220" s="11">
        <f t="shared" si="53"/>
        <v>23022.262500000001</v>
      </c>
      <c r="Q220" s="11">
        <f t="shared" si="54"/>
        <v>23022.262500000001</v>
      </c>
      <c r="R220" s="11">
        <f t="shared" si="55"/>
        <v>23022.262500000001</v>
      </c>
      <c r="S220" s="11">
        <f t="shared" si="56"/>
        <v>23022.262500000001</v>
      </c>
      <c r="T220" s="11">
        <f t="shared" si="57"/>
        <v>22235.822013000001</v>
      </c>
      <c r="U220" s="11">
        <f t="shared" si="58"/>
        <v>21537.787014000001</v>
      </c>
      <c r="V220" s="13">
        <f t="shared" si="59"/>
        <v>23022.262500000001</v>
      </c>
      <c r="X220" s="30"/>
    </row>
    <row r="221" spans="1:24" x14ac:dyDescent="0.25">
      <c r="A221" s="8">
        <v>219</v>
      </c>
      <c r="B221" s="8">
        <v>20.0229</v>
      </c>
      <c r="C221" s="8">
        <v>85.081100000000006</v>
      </c>
      <c r="D221" s="8" t="s">
        <v>7</v>
      </c>
      <c r="E221" s="8" t="s">
        <v>93</v>
      </c>
      <c r="F221" s="8">
        <v>3</v>
      </c>
      <c r="G221" s="8">
        <v>7868.47</v>
      </c>
      <c r="H221" s="8" t="s">
        <v>56</v>
      </c>
      <c r="I221" s="3">
        <f t="shared" si="46"/>
        <v>2.75</v>
      </c>
      <c r="J221" s="11">
        <f t="shared" si="47"/>
        <v>18734.827070000003</v>
      </c>
      <c r="K221" s="11">
        <f t="shared" si="48"/>
        <v>17394.039782</v>
      </c>
      <c r="L221" s="11">
        <f t="shared" si="49"/>
        <v>15836.082721999999</v>
      </c>
      <c r="M221" s="11">
        <f t="shared" si="50"/>
        <v>14223.833219000002</v>
      </c>
      <c r="N221" s="11">
        <f t="shared" si="51"/>
        <v>12340.121501000001</v>
      </c>
      <c r="O221" s="11">
        <f t="shared" si="52"/>
        <v>12340.121501000001</v>
      </c>
      <c r="P221" s="11">
        <f t="shared" si="53"/>
        <v>21638.2925</v>
      </c>
      <c r="Q221" s="11">
        <f t="shared" si="54"/>
        <v>21638.2925</v>
      </c>
      <c r="R221" s="11">
        <f t="shared" si="55"/>
        <v>21638.2925</v>
      </c>
      <c r="S221" s="11">
        <f t="shared" si="56"/>
        <v>21638.2925</v>
      </c>
      <c r="T221" s="11">
        <f t="shared" si="57"/>
        <v>20630.341493</v>
      </c>
      <c r="U221" s="11">
        <f t="shared" si="58"/>
        <v>19735.696454000001</v>
      </c>
      <c r="V221" s="13">
        <f t="shared" si="59"/>
        <v>21638.2925</v>
      </c>
      <c r="X221" s="30"/>
    </row>
    <row r="222" spans="1:24" x14ac:dyDescent="0.25">
      <c r="A222" s="8">
        <v>220</v>
      </c>
      <c r="B222" s="8">
        <v>20.021999999999998</v>
      </c>
      <c r="C222" s="8">
        <v>85.081100000000006</v>
      </c>
      <c r="D222" s="8" t="s">
        <v>7</v>
      </c>
      <c r="E222" s="8" t="s">
        <v>93</v>
      </c>
      <c r="F222" s="8">
        <v>3</v>
      </c>
      <c r="G222" s="8">
        <v>4253.1899999999996</v>
      </c>
      <c r="H222" s="8" t="s">
        <v>56</v>
      </c>
      <c r="I222" s="3">
        <f t="shared" si="46"/>
        <v>2.75</v>
      </c>
      <c r="J222" s="11">
        <f t="shared" si="47"/>
        <v>10126.84539</v>
      </c>
      <c r="K222" s="11">
        <f t="shared" si="48"/>
        <v>9402.1018139999978</v>
      </c>
      <c r="L222" s="11">
        <f t="shared" si="49"/>
        <v>8559.9701939999995</v>
      </c>
      <c r="M222" s="11">
        <f t="shared" si="50"/>
        <v>7688.4915629999996</v>
      </c>
      <c r="N222" s="11">
        <f t="shared" si="51"/>
        <v>6670.2778769999995</v>
      </c>
      <c r="O222" s="11">
        <f t="shared" si="52"/>
        <v>6670.2778769999995</v>
      </c>
      <c r="P222" s="11">
        <f t="shared" si="53"/>
        <v>11696.272499999999</v>
      </c>
      <c r="Q222" s="11">
        <f t="shared" si="54"/>
        <v>11696.272499999999</v>
      </c>
      <c r="R222" s="11">
        <f t="shared" si="55"/>
        <v>11696.272499999999</v>
      </c>
      <c r="S222" s="11">
        <f t="shared" si="56"/>
        <v>11696.272499999999</v>
      </c>
      <c r="T222" s="11">
        <f t="shared" si="57"/>
        <v>11151.438860999999</v>
      </c>
      <c r="U222" s="11">
        <f t="shared" si="58"/>
        <v>10667.851157999999</v>
      </c>
      <c r="V222" s="13">
        <f t="shared" si="59"/>
        <v>11696.272499999999</v>
      </c>
      <c r="X222" s="30"/>
    </row>
    <row r="223" spans="1:24" x14ac:dyDescent="0.25">
      <c r="A223" s="8">
        <v>221</v>
      </c>
      <c r="B223" s="8">
        <v>20.020700000000001</v>
      </c>
      <c r="C223" s="8">
        <v>85.081299999999999</v>
      </c>
      <c r="D223" s="8" t="s">
        <v>7</v>
      </c>
      <c r="E223" s="8" t="s">
        <v>93</v>
      </c>
      <c r="F223" s="8">
        <v>3</v>
      </c>
      <c r="G223" s="8">
        <v>4829.04</v>
      </c>
      <c r="H223" s="8" t="s">
        <v>56</v>
      </c>
      <c r="I223" s="3">
        <f t="shared" si="46"/>
        <v>2.75</v>
      </c>
      <c r="J223" s="11">
        <f t="shared" si="47"/>
        <v>11497.944240000001</v>
      </c>
      <c r="K223" s="11">
        <f t="shared" si="48"/>
        <v>10675.075824</v>
      </c>
      <c r="L223" s="11">
        <f t="shared" si="49"/>
        <v>9718.9259039999997</v>
      </c>
      <c r="M223" s="11">
        <f t="shared" si="50"/>
        <v>8729.4556080000002</v>
      </c>
      <c r="N223" s="11">
        <f t="shared" si="51"/>
        <v>7573.3834319999996</v>
      </c>
      <c r="O223" s="11">
        <f t="shared" si="52"/>
        <v>7573.3834319999996</v>
      </c>
      <c r="P223" s="11">
        <f t="shared" si="53"/>
        <v>13279.86</v>
      </c>
      <c r="Q223" s="11">
        <f t="shared" si="54"/>
        <v>13279.86</v>
      </c>
      <c r="R223" s="11">
        <f t="shared" si="55"/>
        <v>13279.86</v>
      </c>
      <c r="S223" s="11">
        <f t="shared" si="56"/>
        <v>13279.86</v>
      </c>
      <c r="T223" s="11">
        <f t="shared" si="57"/>
        <v>12661.259976000001</v>
      </c>
      <c r="U223" s="11">
        <f t="shared" si="58"/>
        <v>12112.198128</v>
      </c>
      <c r="V223" s="13">
        <f t="shared" si="59"/>
        <v>13279.86</v>
      </c>
      <c r="X223" s="30"/>
    </row>
    <row r="224" spans="1:24" x14ac:dyDescent="0.25">
      <c r="A224" s="8">
        <v>222</v>
      </c>
      <c r="B224" s="8">
        <v>20.0198</v>
      </c>
      <c r="C224" s="8">
        <v>85.080500000000001</v>
      </c>
      <c r="D224" s="8" t="s">
        <v>7</v>
      </c>
      <c r="E224" s="8" t="s">
        <v>93</v>
      </c>
      <c r="F224" s="8">
        <v>3</v>
      </c>
      <c r="G224" s="8">
        <v>5181.96</v>
      </c>
      <c r="H224" s="8" t="s">
        <v>56</v>
      </c>
      <c r="I224" s="3">
        <f t="shared" si="46"/>
        <v>2.75</v>
      </c>
      <c r="J224" s="11">
        <f t="shared" si="47"/>
        <v>12338.246760000002</v>
      </c>
      <c r="K224" s="11">
        <f t="shared" si="48"/>
        <v>11455.240775999999</v>
      </c>
      <c r="L224" s="11">
        <f t="shared" si="49"/>
        <v>10429.212696000001</v>
      </c>
      <c r="M224" s="11">
        <f t="shared" si="50"/>
        <v>9367.4290920000003</v>
      </c>
      <c r="N224" s="11">
        <f t="shared" si="51"/>
        <v>8126.8678680000003</v>
      </c>
      <c r="O224" s="11">
        <f t="shared" si="52"/>
        <v>8126.8678680000003</v>
      </c>
      <c r="P224" s="11">
        <f t="shared" si="53"/>
        <v>14250.39</v>
      </c>
      <c r="Q224" s="11">
        <f t="shared" si="54"/>
        <v>14250.39</v>
      </c>
      <c r="R224" s="11">
        <f t="shared" si="55"/>
        <v>14250.39</v>
      </c>
      <c r="S224" s="11">
        <f t="shared" si="56"/>
        <v>14250.39</v>
      </c>
      <c r="T224" s="11">
        <f t="shared" si="57"/>
        <v>13586.580924</v>
      </c>
      <c r="U224" s="11">
        <f t="shared" si="58"/>
        <v>12997.392072000001</v>
      </c>
      <c r="V224" s="13">
        <f t="shared" si="59"/>
        <v>14250.39</v>
      </c>
      <c r="X224" s="30"/>
    </row>
    <row r="225" spans="1:24" x14ac:dyDescent="0.25">
      <c r="A225" s="8">
        <v>223</v>
      </c>
      <c r="B225" s="8">
        <v>20.018699999999999</v>
      </c>
      <c r="C225" s="8">
        <v>85.08</v>
      </c>
      <c r="D225" s="8" t="s">
        <v>7</v>
      </c>
      <c r="E225" s="8" t="s">
        <v>93</v>
      </c>
      <c r="F225" s="8">
        <v>3</v>
      </c>
      <c r="G225" s="8">
        <v>4290.66</v>
      </c>
      <c r="H225" s="8" t="s">
        <v>56</v>
      </c>
      <c r="I225" s="3">
        <f t="shared" si="46"/>
        <v>2.75</v>
      </c>
      <c r="J225" s="11">
        <f t="shared" si="47"/>
        <v>10216.061460000001</v>
      </c>
      <c r="K225" s="11">
        <f t="shared" si="48"/>
        <v>9484.9329959999995</v>
      </c>
      <c r="L225" s="11">
        <f t="shared" si="49"/>
        <v>8635.3823159999993</v>
      </c>
      <c r="M225" s="11">
        <f t="shared" si="50"/>
        <v>7756.2260820000001</v>
      </c>
      <c r="N225" s="11">
        <f t="shared" si="51"/>
        <v>6729.0420779999995</v>
      </c>
      <c r="O225" s="11">
        <f t="shared" si="52"/>
        <v>6729.0420779999995</v>
      </c>
      <c r="P225" s="11">
        <f t="shared" si="53"/>
        <v>11799.314999999999</v>
      </c>
      <c r="Q225" s="11">
        <f t="shared" si="54"/>
        <v>11799.314999999999</v>
      </c>
      <c r="R225" s="11">
        <f t="shared" si="55"/>
        <v>11799.314999999999</v>
      </c>
      <c r="S225" s="11">
        <f t="shared" si="56"/>
        <v>11799.314999999999</v>
      </c>
      <c r="T225" s="11">
        <f t="shared" si="57"/>
        <v>11249.681454</v>
      </c>
      <c r="U225" s="11">
        <f t="shared" si="58"/>
        <v>10761.833412</v>
      </c>
      <c r="V225" s="13">
        <f t="shared" si="59"/>
        <v>11799.314999999999</v>
      </c>
      <c r="X225" s="30"/>
    </row>
    <row r="226" spans="1:24" x14ac:dyDescent="0.25">
      <c r="A226" s="8">
        <v>224</v>
      </c>
      <c r="B226" s="8">
        <v>20.0227</v>
      </c>
      <c r="C226" s="8">
        <v>85.088300000000004</v>
      </c>
      <c r="D226" s="8" t="s">
        <v>7</v>
      </c>
      <c r="E226" s="8" t="s">
        <v>93</v>
      </c>
      <c r="F226" s="8">
        <v>3</v>
      </c>
      <c r="G226" s="8">
        <v>3220.79</v>
      </c>
      <c r="H226" s="8" t="s">
        <v>56</v>
      </c>
      <c r="I226" s="3">
        <f t="shared" si="46"/>
        <v>2.75</v>
      </c>
      <c r="J226" s="11">
        <f t="shared" si="47"/>
        <v>7668.7009900000003</v>
      </c>
      <c r="K226" s="11">
        <f t="shared" si="48"/>
        <v>7119.8783739999999</v>
      </c>
      <c r="L226" s="11">
        <f t="shared" si="49"/>
        <v>6482.1619540000002</v>
      </c>
      <c r="M226" s="11">
        <f t="shared" si="50"/>
        <v>5822.2220830000006</v>
      </c>
      <c r="N226" s="11">
        <f t="shared" si="51"/>
        <v>5051.164957</v>
      </c>
      <c r="O226" s="11">
        <f t="shared" si="52"/>
        <v>5051.164957</v>
      </c>
      <c r="P226" s="11">
        <f t="shared" si="53"/>
        <v>8857.1725000000006</v>
      </c>
      <c r="Q226" s="11">
        <f t="shared" si="54"/>
        <v>8857.1725000000006</v>
      </c>
      <c r="R226" s="11">
        <f t="shared" si="55"/>
        <v>8857.1725000000006</v>
      </c>
      <c r="S226" s="11">
        <f t="shared" si="56"/>
        <v>8857.1725000000006</v>
      </c>
      <c r="T226" s="11">
        <f t="shared" si="57"/>
        <v>8444.589301</v>
      </c>
      <c r="U226" s="11">
        <f t="shared" si="58"/>
        <v>8078.3854780000001</v>
      </c>
      <c r="V226" s="13">
        <f t="shared" si="59"/>
        <v>8857.1725000000006</v>
      </c>
      <c r="X226" s="30"/>
    </row>
    <row r="227" spans="1:24" x14ac:dyDescent="0.25">
      <c r="A227" s="8">
        <v>225</v>
      </c>
      <c r="B227" s="8">
        <v>20.0259</v>
      </c>
      <c r="C227" s="8">
        <v>85.085999999999999</v>
      </c>
      <c r="D227" s="8" t="s">
        <v>7</v>
      </c>
      <c r="E227" s="8" t="s">
        <v>93</v>
      </c>
      <c r="F227" s="8">
        <v>3</v>
      </c>
      <c r="G227" s="8">
        <v>7760.06</v>
      </c>
      <c r="H227" s="8" t="s">
        <v>56</v>
      </c>
      <c r="I227" s="3">
        <f t="shared" si="46"/>
        <v>2.75</v>
      </c>
      <c r="J227" s="11">
        <f t="shared" si="47"/>
        <v>18476.702860000001</v>
      </c>
      <c r="K227" s="11">
        <f t="shared" si="48"/>
        <v>17154.388636</v>
      </c>
      <c r="L227" s="11">
        <f t="shared" si="49"/>
        <v>15617.896756</v>
      </c>
      <c r="M227" s="11">
        <f t="shared" si="50"/>
        <v>14027.860462000001</v>
      </c>
      <c r="N227" s="11">
        <f t="shared" si="51"/>
        <v>12170.102098000001</v>
      </c>
      <c r="O227" s="11">
        <f t="shared" si="52"/>
        <v>12170.102098000001</v>
      </c>
      <c r="P227" s="11">
        <f t="shared" si="53"/>
        <v>21340.165000000001</v>
      </c>
      <c r="Q227" s="11">
        <f t="shared" si="54"/>
        <v>21340.165000000001</v>
      </c>
      <c r="R227" s="11">
        <f t="shared" si="55"/>
        <v>21340.165000000001</v>
      </c>
      <c r="S227" s="11">
        <f t="shared" si="56"/>
        <v>21340.165000000001</v>
      </c>
      <c r="T227" s="11">
        <f t="shared" si="57"/>
        <v>20346.101314000003</v>
      </c>
      <c r="U227" s="11">
        <f t="shared" si="58"/>
        <v>19463.782492000002</v>
      </c>
      <c r="V227" s="13">
        <f t="shared" si="59"/>
        <v>21340.165000000001</v>
      </c>
      <c r="X227" s="30"/>
    </row>
    <row r="228" spans="1:24" x14ac:dyDescent="0.25">
      <c r="A228" s="8">
        <v>226</v>
      </c>
      <c r="B228" s="8">
        <v>20.027899999999999</v>
      </c>
      <c r="C228" s="8">
        <v>85.087500000000006</v>
      </c>
      <c r="D228" s="8" t="s">
        <v>7</v>
      </c>
      <c r="E228" s="8" t="s">
        <v>93</v>
      </c>
      <c r="F228" s="8">
        <v>3</v>
      </c>
      <c r="G228" s="8">
        <v>1507.35</v>
      </c>
      <c r="H228" s="8" t="s">
        <v>56</v>
      </c>
      <c r="I228" s="3">
        <f t="shared" si="46"/>
        <v>2.75</v>
      </c>
      <c r="J228" s="11">
        <f t="shared" si="47"/>
        <v>3589.0003500000003</v>
      </c>
      <c r="K228" s="11">
        <f t="shared" si="48"/>
        <v>3332.1479099999997</v>
      </c>
      <c r="L228" s="11">
        <f t="shared" si="49"/>
        <v>3033.6926099999996</v>
      </c>
      <c r="M228" s="11">
        <f t="shared" si="50"/>
        <v>2724.8365949999998</v>
      </c>
      <c r="N228" s="11">
        <f t="shared" si="51"/>
        <v>2363.9770049999997</v>
      </c>
      <c r="O228" s="11">
        <f t="shared" si="52"/>
        <v>2363.9770049999997</v>
      </c>
      <c r="P228" s="11">
        <f t="shared" si="53"/>
        <v>4145.2124999999996</v>
      </c>
      <c r="Q228" s="11">
        <f t="shared" si="54"/>
        <v>4145.2124999999996</v>
      </c>
      <c r="R228" s="11">
        <f t="shared" si="55"/>
        <v>4145.2124999999996</v>
      </c>
      <c r="S228" s="11">
        <f t="shared" si="56"/>
        <v>4145.2124999999996</v>
      </c>
      <c r="T228" s="11">
        <f t="shared" si="57"/>
        <v>3952.1209650000001</v>
      </c>
      <c r="U228" s="11">
        <f t="shared" si="58"/>
        <v>3780.7352699999997</v>
      </c>
      <c r="V228" s="13">
        <f t="shared" si="59"/>
        <v>4145.2124999999996</v>
      </c>
      <c r="X228" s="30"/>
    </row>
    <row r="229" spans="1:24" x14ac:dyDescent="0.25">
      <c r="A229" s="8">
        <v>227</v>
      </c>
      <c r="B229" s="8">
        <v>20.027799999999999</v>
      </c>
      <c r="C229" s="8">
        <v>85.088399999999993</v>
      </c>
      <c r="D229" s="8" t="s">
        <v>7</v>
      </c>
      <c r="E229" s="8" t="s">
        <v>93</v>
      </c>
      <c r="F229" s="8">
        <v>3</v>
      </c>
      <c r="G229" s="8">
        <v>690.2</v>
      </c>
      <c r="H229" s="8" t="s">
        <v>56</v>
      </c>
      <c r="I229" s="3">
        <f t="shared" si="46"/>
        <v>2.75</v>
      </c>
      <c r="J229" s="11">
        <f t="shared" si="47"/>
        <v>1643.3662000000002</v>
      </c>
      <c r="K229" s="11">
        <f t="shared" si="48"/>
        <v>1525.75612</v>
      </c>
      <c r="L229" s="11">
        <f t="shared" si="49"/>
        <v>1389.0965200000001</v>
      </c>
      <c r="M229" s="11">
        <f t="shared" si="50"/>
        <v>1247.6745400000002</v>
      </c>
      <c r="N229" s="11">
        <f t="shared" si="51"/>
        <v>1082.44066</v>
      </c>
      <c r="O229" s="11">
        <f t="shared" si="52"/>
        <v>1082.44066</v>
      </c>
      <c r="P229" s="11">
        <f t="shared" si="53"/>
        <v>1898.0500000000002</v>
      </c>
      <c r="Q229" s="11">
        <f t="shared" si="54"/>
        <v>1898.0500000000002</v>
      </c>
      <c r="R229" s="11">
        <f t="shared" si="55"/>
        <v>1898.0500000000002</v>
      </c>
      <c r="S229" s="11">
        <f t="shared" si="56"/>
        <v>1898.0500000000002</v>
      </c>
      <c r="T229" s="11">
        <f t="shared" si="57"/>
        <v>1809.6353800000002</v>
      </c>
      <c r="U229" s="11">
        <f t="shared" si="58"/>
        <v>1731.1596400000001</v>
      </c>
      <c r="V229" s="13">
        <f t="shared" si="59"/>
        <v>1898.0500000000002</v>
      </c>
      <c r="X229" s="30"/>
    </row>
    <row r="230" spans="1:24" x14ac:dyDescent="0.25">
      <c r="A230" s="8">
        <v>228</v>
      </c>
      <c r="B230" s="8">
        <v>20.028199999999998</v>
      </c>
      <c r="C230" s="8">
        <v>85.088899999999995</v>
      </c>
      <c r="D230" s="8" t="s">
        <v>7</v>
      </c>
      <c r="E230" s="8" t="s">
        <v>93</v>
      </c>
      <c r="F230" s="8">
        <v>3</v>
      </c>
      <c r="G230" s="8">
        <v>907.12</v>
      </c>
      <c r="H230" s="8" t="s">
        <v>56</v>
      </c>
      <c r="I230" s="3">
        <f t="shared" si="46"/>
        <v>2.75</v>
      </c>
      <c r="J230" s="11">
        <f t="shared" si="47"/>
        <v>2159.8527200000003</v>
      </c>
      <c r="K230" s="11">
        <f t="shared" si="48"/>
        <v>2005.2794719999999</v>
      </c>
      <c r="L230" s="11">
        <f t="shared" si="49"/>
        <v>1825.6697119999999</v>
      </c>
      <c r="M230" s="11">
        <f t="shared" si="50"/>
        <v>1639.8008240000001</v>
      </c>
      <c r="N230" s="11">
        <f t="shared" si="51"/>
        <v>1422.6362960000001</v>
      </c>
      <c r="O230" s="11">
        <f t="shared" si="52"/>
        <v>1422.6362960000001</v>
      </c>
      <c r="P230" s="11">
        <f t="shared" si="53"/>
        <v>2494.58</v>
      </c>
      <c r="Q230" s="11">
        <f t="shared" si="54"/>
        <v>2494.58</v>
      </c>
      <c r="R230" s="11">
        <f t="shared" si="55"/>
        <v>2494.58</v>
      </c>
      <c r="S230" s="11">
        <f t="shared" si="56"/>
        <v>2494.58</v>
      </c>
      <c r="T230" s="11">
        <f t="shared" si="57"/>
        <v>2378.3779280000003</v>
      </c>
      <c r="U230" s="11">
        <f t="shared" si="58"/>
        <v>2275.2383840000002</v>
      </c>
      <c r="V230" s="13">
        <f t="shared" si="59"/>
        <v>2494.58</v>
      </c>
      <c r="X230" s="30"/>
    </row>
    <row r="231" spans="1:24" x14ac:dyDescent="0.25">
      <c r="A231" s="8">
        <v>229</v>
      </c>
      <c r="B231" s="8">
        <v>20.029</v>
      </c>
      <c r="C231" s="8">
        <v>85.097800000000007</v>
      </c>
      <c r="D231" s="8" t="s">
        <v>7</v>
      </c>
      <c r="E231" s="8" t="s">
        <v>93</v>
      </c>
      <c r="F231" s="8">
        <v>4</v>
      </c>
      <c r="G231" s="8">
        <v>8372.36</v>
      </c>
      <c r="H231" s="8" t="s">
        <v>56</v>
      </c>
      <c r="I231" s="3">
        <f t="shared" si="46"/>
        <v>3.75</v>
      </c>
      <c r="J231" s="11">
        <f t="shared" si="47"/>
        <v>28306.949160000004</v>
      </c>
      <c r="K231" s="11">
        <f t="shared" si="48"/>
        <v>26880.299016000001</v>
      </c>
      <c r="L231" s="11">
        <f t="shared" si="49"/>
        <v>25222.571736000002</v>
      </c>
      <c r="M231" s="11">
        <f t="shared" si="50"/>
        <v>23507.075172000001</v>
      </c>
      <c r="N231" s="11">
        <f t="shared" si="51"/>
        <v>21502.732187999998</v>
      </c>
      <c r="O231" s="11">
        <f t="shared" si="52"/>
        <v>21502.732187999998</v>
      </c>
      <c r="P231" s="11">
        <f t="shared" si="53"/>
        <v>31396.350000000002</v>
      </c>
      <c r="Q231" s="11">
        <f t="shared" si="54"/>
        <v>31396.350000000002</v>
      </c>
      <c r="R231" s="11">
        <f t="shared" si="55"/>
        <v>31396.350000000002</v>
      </c>
      <c r="S231" s="11">
        <f t="shared" si="56"/>
        <v>31396.350000000002</v>
      </c>
      <c r="T231" s="11">
        <f t="shared" si="57"/>
        <v>30323.850684000005</v>
      </c>
      <c r="U231" s="11">
        <f t="shared" si="58"/>
        <v>29371.913352000003</v>
      </c>
      <c r="V231" s="13">
        <f t="shared" si="59"/>
        <v>31396.350000000002</v>
      </c>
      <c r="X231" s="30"/>
    </row>
    <row r="232" spans="1:24" x14ac:dyDescent="0.25">
      <c r="A232" s="8">
        <v>230</v>
      </c>
      <c r="B232" s="8">
        <v>20.032599999999999</v>
      </c>
      <c r="C232" s="8">
        <v>85.097800000000007</v>
      </c>
      <c r="D232" s="8" t="s">
        <v>7</v>
      </c>
      <c r="E232" s="8" t="s">
        <v>93</v>
      </c>
      <c r="F232" s="8">
        <v>3</v>
      </c>
      <c r="G232" s="8">
        <v>1404.43</v>
      </c>
      <c r="H232" s="8" t="s">
        <v>56</v>
      </c>
      <c r="I232" s="3">
        <f t="shared" si="46"/>
        <v>2.75</v>
      </c>
      <c r="J232" s="11">
        <f t="shared" si="47"/>
        <v>3343.9478300000005</v>
      </c>
      <c r="K232" s="11">
        <f t="shared" si="48"/>
        <v>3104.6329580000001</v>
      </c>
      <c r="L232" s="11">
        <f t="shared" si="49"/>
        <v>2826.5558180000003</v>
      </c>
      <c r="M232" s="11">
        <f t="shared" si="50"/>
        <v>2538.7881110000003</v>
      </c>
      <c r="N232" s="11">
        <f t="shared" si="51"/>
        <v>2202.5675690000003</v>
      </c>
      <c r="O232" s="11">
        <f t="shared" si="52"/>
        <v>2202.5675690000003</v>
      </c>
      <c r="P232" s="11">
        <f t="shared" si="53"/>
        <v>3862.1825000000003</v>
      </c>
      <c r="Q232" s="11">
        <f t="shared" si="54"/>
        <v>3862.1825000000003</v>
      </c>
      <c r="R232" s="11">
        <f t="shared" si="55"/>
        <v>3862.1825000000003</v>
      </c>
      <c r="S232" s="11">
        <f t="shared" si="56"/>
        <v>3862.1825000000003</v>
      </c>
      <c r="T232" s="11">
        <f t="shared" si="57"/>
        <v>3682.2750170000004</v>
      </c>
      <c r="U232" s="11">
        <f t="shared" si="58"/>
        <v>3522.5913260000002</v>
      </c>
      <c r="V232" s="13">
        <f t="shared" si="59"/>
        <v>3862.1825000000003</v>
      </c>
      <c r="X232" s="30"/>
    </row>
    <row r="233" spans="1:24" x14ac:dyDescent="0.25">
      <c r="A233" s="8">
        <v>231</v>
      </c>
      <c r="B233" s="8">
        <v>20.0336</v>
      </c>
      <c r="C233" s="8">
        <v>85.102599999999995</v>
      </c>
      <c r="D233" s="8" t="s">
        <v>7</v>
      </c>
      <c r="E233" s="8" t="s">
        <v>93</v>
      </c>
      <c r="F233" s="8">
        <v>3</v>
      </c>
      <c r="G233" s="8">
        <v>8908.77</v>
      </c>
      <c r="H233" s="8" t="s">
        <v>56</v>
      </c>
      <c r="I233" s="3">
        <f t="shared" si="46"/>
        <v>2.75</v>
      </c>
      <c r="J233" s="11">
        <f t="shared" si="47"/>
        <v>21211.781370000004</v>
      </c>
      <c r="K233" s="11">
        <f t="shared" si="48"/>
        <v>19693.726962000001</v>
      </c>
      <c r="L233" s="11">
        <f t="shared" si="49"/>
        <v>17929.790502</v>
      </c>
      <c r="M233" s="11">
        <f t="shared" si="50"/>
        <v>16104.383529000001</v>
      </c>
      <c r="N233" s="11">
        <f t="shared" si="51"/>
        <v>13971.623991</v>
      </c>
      <c r="O233" s="11">
        <f t="shared" si="52"/>
        <v>13971.623991</v>
      </c>
      <c r="P233" s="11">
        <f t="shared" si="53"/>
        <v>24499.1175</v>
      </c>
      <c r="Q233" s="11">
        <f t="shared" si="54"/>
        <v>24499.1175</v>
      </c>
      <c r="R233" s="11">
        <f t="shared" si="55"/>
        <v>24499.1175</v>
      </c>
      <c r="S233" s="11">
        <f t="shared" si="56"/>
        <v>24499.1175</v>
      </c>
      <c r="T233" s="11">
        <f t="shared" si="57"/>
        <v>23357.904063000002</v>
      </c>
      <c r="U233" s="11">
        <f t="shared" si="58"/>
        <v>22344.976914000003</v>
      </c>
      <c r="V233" s="13">
        <f t="shared" si="59"/>
        <v>24499.1175</v>
      </c>
      <c r="X233" s="30"/>
    </row>
    <row r="234" spans="1:24" x14ac:dyDescent="0.25">
      <c r="A234" s="8">
        <v>232</v>
      </c>
      <c r="B234" s="8">
        <v>20.032499999999999</v>
      </c>
      <c r="C234" s="8">
        <v>85.102199999999996</v>
      </c>
      <c r="D234" s="8" t="s">
        <v>7</v>
      </c>
      <c r="E234" s="8" t="s">
        <v>93</v>
      </c>
      <c r="F234" s="8">
        <v>2</v>
      </c>
      <c r="G234" s="8">
        <v>427.99</v>
      </c>
      <c r="H234" s="8" t="s">
        <v>56</v>
      </c>
      <c r="I234" s="3">
        <f t="shared" si="46"/>
        <v>1.75</v>
      </c>
      <c r="J234" s="11">
        <f t="shared" si="47"/>
        <v>591.05419000000006</v>
      </c>
      <c r="K234" s="11">
        <f t="shared" si="48"/>
        <v>518.12469399999998</v>
      </c>
      <c r="L234" s="11">
        <f t="shared" si="49"/>
        <v>433.38267400000001</v>
      </c>
      <c r="M234" s="11">
        <f t="shared" si="50"/>
        <v>345.687523</v>
      </c>
      <c r="N234" s="11">
        <f t="shared" si="51"/>
        <v>243.22671700000001</v>
      </c>
      <c r="O234" s="11">
        <f t="shared" si="52"/>
        <v>243.22671700000001</v>
      </c>
      <c r="P234" s="11">
        <f t="shared" si="53"/>
        <v>748.98250000000007</v>
      </c>
      <c r="Q234" s="11">
        <f t="shared" si="54"/>
        <v>748.98250000000007</v>
      </c>
      <c r="R234" s="11">
        <f t="shared" si="55"/>
        <v>748.98250000000007</v>
      </c>
      <c r="S234" s="11">
        <f t="shared" si="56"/>
        <v>748.98250000000007</v>
      </c>
      <c r="T234" s="11">
        <f t="shared" si="57"/>
        <v>694.15698100000009</v>
      </c>
      <c r="U234" s="11">
        <f t="shared" si="58"/>
        <v>645.49451799999997</v>
      </c>
      <c r="V234" s="13">
        <f t="shared" si="59"/>
        <v>748.98250000000007</v>
      </c>
      <c r="X234" s="30"/>
    </row>
    <row r="235" spans="1:24" x14ac:dyDescent="0.25">
      <c r="A235" s="8">
        <v>233</v>
      </c>
      <c r="B235" s="8">
        <v>20.0349</v>
      </c>
      <c r="C235" s="8">
        <v>85.102199999999996</v>
      </c>
      <c r="D235" s="8" t="s">
        <v>7</v>
      </c>
      <c r="E235" s="8" t="s">
        <v>93</v>
      </c>
      <c r="F235" s="8">
        <v>2</v>
      </c>
      <c r="G235" s="8">
        <v>1402.34</v>
      </c>
      <c r="H235" s="8" t="s">
        <v>56</v>
      </c>
      <c r="I235" s="3">
        <f t="shared" si="46"/>
        <v>1.75</v>
      </c>
      <c r="J235" s="11">
        <f t="shared" si="47"/>
        <v>1936.6315399999999</v>
      </c>
      <c r="K235" s="11">
        <f t="shared" si="48"/>
        <v>1697.6728039999998</v>
      </c>
      <c r="L235" s="11">
        <f t="shared" si="49"/>
        <v>1420.0094839999999</v>
      </c>
      <c r="M235" s="11">
        <f t="shared" si="50"/>
        <v>1132.6700179999998</v>
      </c>
      <c r="N235" s="11">
        <f t="shared" si="51"/>
        <v>796.94982200000004</v>
      </c>
      <c r="O235" s="11">
        <f t="shared" si="52"/>
        <v>796.94982200000004</v>
      </c>
      <c r="P235" s="11">
        <f t="shared" si="53"/>
        <v>2454.0949999999998</v>
      </c>
      <c r="Q235" s="11">
        <f t="shared" si="54"/>
        <v>2454.0949999999998</v>
      </c>
      <c r="R235" s="11">
        <f t="shared" si="55"/>
        <v>2454.0949999999998</v>
      </c>
      <c r="S235" s="11">
        <f t="shared" si="56"/>
        <v>2454.0949999999998</v>
      </c>
      <c r="T235" s="11">
        <f t="shared" si="57"/>
        <v>2274.455246</v>
      </c>
      <c r="U235" s="11">
        <f t="shared" si="58"/>
        <v>2115.009188</v>
      </c>
      <c r="V235" s="13">
        <f t="shared" si="59"/>
        <v>2454.0949999999998</v>
      </c>
      <c r="X235" s="30"/>
    </row>
    <row r="236" spans="1:24" x14ac:dyDescent="0.25">
      <c r="A236" s="8">
        <v>234</v>
      </c>
      <c r="B236" s="8">
        <v>20.036100000000001</v>
      </c>
      <c r="C236" s="8">
        <v>85.105599999999995</v>
      </c>
      <c r="D236" s="8" t="s">
        <v>7</v>
      </c>
      <c r="E236" s="8" t="s">
        <v>93</v>
      </c>
      <c r="F236" s="8">
        <v>2</v>
      </c>
      <c r="G236" s="8">
        <v>2280.6</v>
      </c>
      <c r="H236" s="8" t="s">
        <v>56</v>
      </c>
      <c r="I236" s="3">
        <f t="shared" si="46"/>
        <v>1.75</v>
      </c>
      <c r="J236" s="11">
        <f t="shared" si="47"/>
        <v>3149.5085999999997</v>
      </c>
      <c r="K236" s="11">
        <f t="shared" si="48"/>
        <v>2760.8943599999998</v>
      </c>
      <c r="L236" s="11">
        <f t="shared" si="49"/>
        <v>2309.33556</v>
      </c>
      <c r="M236" s="11">
        <f t="shared" si="50"/>
        <v>1842.0406199999998</v>
      </c>
      <c r="N236" s="11">
        <f t="shared" si="51"/>
        <v>1296.0649800000001</v>
      </c>
      <c r="O236" s="11">
        <f t="shared" si="52"/>
        <v>1296.0649800000001</v>
      </c>
      <c r="P236" s="11">
        <f t="shared" si="53"/>
        <v>3991.0499999999997</v>
      </c>
      <c r="Q236" s="11">
        <f t="shared" si="54"/>
        <v>3991.0499999999997</v>
      </c>
      <c r="R236" s="11">
        <f t="shared" si="55"/>
        <v>3991.0499999999997</v>
      </c>
      <c r="S236" s="11">
        <f t="shared" si="56"/>
        <v>3991.0499999999997</v>
      </c>
      <c r="T236" s="11">
        <f t="shared" si="57"/>
        <v>3698.9051400000003</v>
      </c>
      <c r="U236" s="11">
        <f t="shared" si="58"/>
        <v>3439.6009199999999</v>
      </c>
      <c r="V236" s="13">
        <f t="shared" si="59"/>
        <v>3991.0499999999997</v>
      </c>
      <c r="X236" s="30"/>
    </row>
    <row r="237" spans="1:24" x14ac:dyDescent="0.25">
      <c r="A237" s="8">
        <v>235</v>
      </c>
      <c r="B237" s="8">
        <v>20.036899999999999</v>
      </c>
      <c r="C237" s="8">
        <v>85.107500000000002</v>
      </c>
      <c r="D237" s="8" t="s">
        <v>7</v>
      </c>
      <c r="E237" s="8" t="s">
        <v>93</v>
      </c>
      <c r="F237" s="8">
        <v>3</v>
      </c>
      <c r="G237" s="8">
        <v>10268.75</v>
      </c>
      <c r="H237" s="8" t="s">
        <v>56</v>
      </c>
      <c r="I237" s="3">
        <f t="shared" si="46"/>
        <v>2.75</v>
      </c>
      <c r="J237" s="11">
        <f t="shared" si="47"/>
        <v>24449.893750000003</v>
      </c>
      <c r="K237" s="11">
        <f t="shared" si="48"/>
        <v>22700.098749999997</v>
      </c>
      <c r="L237" s="11">
        <f t="shared" si="49"/>
        <v>20666.88625</v>
      </c>
      <c r="M237" s="11">
        <f t="shared" si="50"/>
        <v>18562.819374999999</v>
      </c>
      <c r="N237" s="11">
        <f t="shared" si="51"/>
        <v>16104.480625</v>
      </c>
      <c r="O237" s="11">
        <f t="shared" si="52"/>
        <v>16104.480625</v>
      </c>
      <c r="P237" s="11">
        <f t="shared" si="53"/>
        <v>28239.0625</v>
      </c>
      <c r="Q237" s="11">
        <f t="shared" si="54"/>
        <v>28239.0625</v>
      </c>
      <c r="R237" s="11">
        <f t="shared" si="55"/>
        <v>28239.0625</v>
      </c>
      <c r="S237" s="11">
        <f t="shared" si="56"/>
        <v>28239.0625</v>
      </c>
      <c r="T237" s="11">
        <f t="shared" si="57"/>
        <v>26923.635625000003</v>
      </c>
      <c r="U237" s="11">
        <f t="shared" si="58"/>
        <v>25756.078750000001</v>
      </c>
      <c r="V237" s="13">
        <f t="shared" si="59"/>
        <v>28239.0625</v>
      </c>
      <c r="X237" s="30"/>
    </row>
    <row r="238" spans="1:24" x14ac:dyDescent="0.25">
      <c r="A238" s="8">
        <v>236</v>
      </c>
      <c r="B238" s="8">
        <v>20.038399999999999</v>
      </c>
      <c r="C238" s="8">
        <v>85.11</v>
      </c>
      <c r="D238" s="8" t="s">
        <v>7</v>
      </c>
      <c r="E238" s="8" t="s">
        <v>93</v>
      </c>
      <c r="F238" s="8">
        <v>3</v>
      </c>
      <c r="G238" s="8">
        <v>6099.25</v>
      </c>
      <c r="H238" s="8" t="s">
        <v>56</v>
      </c>
      <c r="I238" s="3">
        <f t="shared" si="46"/>
        <v>2.75</v>
      </c>
      <c r="J238" s="11">
        <f t="shared" si="47"/>
        <v>14522.314250000001</v>
      </c>
      <c r="K238" s="11">
        <f t="shared" si="48"/>
        <v>13483.002049999999</v>
      </c>
      <c r="L238" s="11">
        <f t="shared" si="49"/>
        <v>12275.350549999999</v>
      </c>
      <c r="M238" s="11">
        <f t="shared" si="50"/>
        <v>11025.614225000001</v>
      </c>
      <c r="N238" s="11">
        <f t="shared" si="51"/>
        <v>9565.453775</v>
      </c>
      <c r="O238" s="11">
        <f t="shared" si="52"/>
        <v>9565.453775</v>
      </c>
      <c r="P238" s="11">
        <f t="shared" si="53"/>
        <v>16772.9375</v>
      </c>
      <c r="Q238" s="11">
        <f t="shared" si="54"/>
        <v>16772.9375</v>
      </c>
      <c r="R238" s="11">
        <f t="shared" si="55"/>
        <v>16772.9375</v>
      </c>
      <c r="S238" s="11">
        <f t="shared" si="56"/>
        <v>16772.9375</v>
      </c>
      <c r="T238" s="11">
        <f t="shared" si="57"/>
        <v>15991.623575000001</v>
      </c>
      <c r="U238" s="11">
        <f t="shared" si="58"/>
        <v>15298.138849999999</v>
      </c>
      <c r="V238" s="13">
        <f t="shared" si="59"/>
        <v>16772.9375</v>
      </c>
      <c r="X238" s="30"/>
    </row>
    <row r="239" spans="1:24" x14ac:dyDescent="0.25">
      <c r="A239" s="8">
        <v>237</v>
      </c>
      <c r="B239" s="8">
        <v>20.037099999999999</v>
      </c>
      <c r="C239" s="8">
        <v>85.111599999999996</v>
      </c>
      <c r="D239" s="8" t="s">
        <v>7</v>
      </c>
      <c r="E239" s="8" t="s">
        <v>93</v>
      </c>
      <c r="F239" s="8">
        <v>3</v>
      </c>
      <c r="G239" s="8">
        <v>604.22</v>
      </c>
      <c r="H239" s="8" t="s">
        <v>56</v>
      </c>
      <c r="I239" s="3">
        <f t="shared" si="46"/>
        <v>2.75</v>
      </c>
      <c r="J239" s="11">
        <f t="shared" si="47"/>
        <v>1438.6478200000001</v>
      </c>
      <c r="K239" s="11">
        <f t="shared" si="48"/>
        <v>1335.6887320000001</v>
      </c>
      <c r="L239" s="11">
        <f t="shared" si="49"/>
        <v>1216.0531720000001</v>
      </c>
      <c r="M239" s="11">
        <f t="shared" si="50"/>
        <v>1092.2484940000002</v>
      </c>
      <c r="N239" s="11">
        <f t="shared" si="51"/>
        <v>947.59822600000007</v>
      </c>
      <c r="O239" s="11">
        <f t="shared" si="52"/>
        <v>947.59822600000007</v>
      </c>
      <c r="P239" s="11">
        <f t="shared" si="53"/>
        <v>1661.605</v>
      </c>
      <c r="Q239" s="11">
        <f t="shared" si="54"/>
        <v>1661.605</v>
      </c>
      <c r="R239" s="11">
        <f t="shared" si="55"/>
        <v>1661.605</v>
      </c>
      <c r="S239" s="11">
        <f t="shared" si="56"/>
        <v>1661.605</v>
      </c>
      <c r="T239" s="11">
        <f t="shared" si="57"/>
        <v>1584.204418</v>
      </c>
      <c r="U239" s="11">
        <f t="shared" si="58"/>
        <v>1515.504604</v>
      </c>
      <c r="V239" s="13">
        <f t="shared" si="59"/>
        <v>1661.605</v>
      </c>
      <c r="X239" s="30"/>
    </row>
    <row r="240" spans="1:24" x14ac:dyDescent="0.25">
      <c r="A240" s="8">
        <v>238</v>
      </c>
      <c r="B240" s="8">
        <v>20.0381</v>
      </c>
      <c r="C240" s="8">
        <v>85.114500000000007</v>
      </c>
      <c r="D240" s="8" t="s">
        <v>7</v>
      </c>
      <c r="E240" s="8" t="s">
        <v>93</v>
      </c>
      <c r="F240" s="8">
        <v>4</v>
      </c>
      <c r="G240" s="8">
        <v>7102.55</v>
      </c>
      <c r="H240" s="8" t="s">
        <v>56</v>
      </c>
      <c r="I240" s="3">
        <f t="shared" si="46"/>
        <v>3.75</v>
      </c>
      <c r="J240" s="11">
        <f t="shared" si="47"/>
        <v>24013.721550000002</v>
      </c>
      <c r="K240" s="11">
        <f t="shared" si="48"/>
        <v>22803.447029999999</v>
      </c>
      <c r="L240" s="11">
        <f t="shared" si="49"/>
        <v>21397.14213</v>
      </c>
      <c r="M240" s="11">
        <f t="shared" si="50"/>
        <v>19941.829635000002</v>
      </c>
      <c r="N240" s="11">
        <f t="shared" si="51"/>
        <v>18241.479165000001</v>
      </c>
      <c r="O240" s="11">
        <f t="shared" si="52"/>
        <v>18241.479165000001</v>
      </c>
      <c r="P240" s="11">
        <f t="shared" si="53"/>
        <v>26634.5625</v>
      </c>
      <c r="Q240" s="11">
        <f t="shared" si="54"/>
        <v>26634.5625</v>
      </c>
      <c r="R240" s="11">
        <f t="shared" si="55"/>
        <v>26634.5625</v>
      </c>
      <c r="S240" s="11">
        <f t="shared" si="56"/>
        <v>26634.5625</v>
      </c>
      <c r="T240" s="11">
        <f t="shared" si="57"/>
        <v>25724.725845000001</v>
      </c>
      <c r="U240" s="11">
        <f t="shared" si="58"/>
        <v>24917.16591</v>
      </c>
      <c r="V240" s="13">
        <f t="shared" si="59"/>
        <v>26634.5625</v>
      </c>
      <c r="X240" s="30"/>
    </row>
    <row r="241" spans="1:24" x14ac:dyDescent="0.25">
      <c r="A241" s="8">
        <v>239</v>
      </c>
      <c r="B241" s="8">
        <v>20.036999999999999</v>
      </c>
      <c r="C241" s="8">
        <v>85.114999999999995</v>
      </c>
      <c r="D241" s="8" t="s">
        <v>7</v>
      </c>
      <c r="E241" s="8" t="s">
        <v>93</v>
      </c>
      <c r="F241" s="8">
        <v>3</v>
      </c>
      <c r="G241" s="8">
        <v>1633.59</v>
      </c>
      <c r="H241" s="8" t="s">
        <v>56</v>
      </c>
      <c r="I241" s="3">
        <f t="shared" si="46"/>
        <v>2.75</v>
      </c>
      <c r="J241" s="11">
        <f t="shared" si="47"/>
        <v>3889.5777900000003</v>
      </c>
      <c r="K241" s="11">
        <f t="shared" si="48"/>
        <v>3611.2140539999996</v>
      </c>
      <c r="L241" s="11">
        <f t="shared" si="49"/>
        <v>3287.7632339999996</v>
      </c>
      <c r="M241" s="11">
        <f t="shared" si="50"/>
        <v>2953.0406429999998</v>
      </c>
      <c r="N241" s="11">
        <f t="shared" si="51"/>
        <v>2561.9591970000001</v>
      </c>
      <c r="O241" s="11">
        <f t="shared" si="52"/>
        <v>2561.9591970000001</v>
      </c>
      <c r="P241" s="11">
        <f t="shared" si="53"/>
        <v>4492.3724999999995</v>
      </c>
      <c r="Q241" s="11">
        <f t="shared" si="54"/>
        <v>4492.3724999999995</v>
      </c>
      <c r="R241" s="11">
        <f t="shared" si="55"/>
        <v>4492.3724999999995</v>
      </c>
      <c r="S241" s="11">
        <f t="shared" si="56"/>
        <v>4492.3724999999995</v>
      </c>
      <c r="T241" s="11">
        <f t="shared" si="57"/>
        <v>4283.1096209999996</v>
      </c>
      <c r="U241" s="11">
        <f t="shared" si="58"/>
        <v>4097.3704379999999</v>
      </c>
      <c r="V241" s="13">
        <f t="shared" si="59"/>
        <v>4492.3724999999995</v>
      </c>
      <c r="X241" s="30"/>
    </row>
    <row r="242" spans="1:24" x14ac:dyDescent="0.25">
      <c r="A242" s="8">
        <v>240</v>
      </c>
      <c r="B242" s="8">
        <v>20.039000000000001</v>
      </c>
      <c r="C242" s="8">
        <v>85.112799999999993</v>
      </c>
      <c r="D242" s="8" t="s">
        <v>7</v>
      </c>
      <c r="E242" s="8" t="s">
        <v>93</v>
      </c>
      <c r="F242" s="8">
        <v>2</v>
      </c>
      <c r="G242" s="8">
        <v>283.06</v>
      </c>
      <c r="H242" s="8" t="s">
        <v>56</v>
      </c>
      <c r="I242" s="3">
        <f t="shared" si="46"/>
        <v>1.75</v>
      </c>
      <c r="J242" s="11">
        <f t="shared" si="47"/>
        <v>390.90586000000002</v>
      </c>
      <c r="K242" s="11">
        <f t="shared" si="48"/>
        <v>342.67243599999995</v>
      </c>
      <c r="L242" s="11">
        <f t="shared" si="49"/>
        <v>286.62655599999999</v>
      </c>
      <c r="M242" s="11">
        <f t="shared" si="50"/>
        <v>228.62756199999998</v>
      </c>
      <c r="N242" s="11">
        <f t="shared" si="51"/>
        <v>160.862998</v>
      </c>
      <c r="O242" s="11">
        <f t="shared" si="52"/>
        <v>160.862998</v>
      </c>
      <c r="P242" s="11">
        <f t="shared" si="53"/>
        <v>495.35500000000002</v>
      </c>
      <c r="Q242" s="11">
        <f t="shared" si="54"/>
        <v>495.35500000000002</v>
      </c>
      <c r="R242" s="11">
        <f t="shared" si="55"/>
        <v>495.35500000000002</v>
      </c>
      <c r="S242" s="11">
        <f t="shared" si="56"/>
        <v>495.35500000000002</v>
      </c>
      <c r="T242" s="11">
        <f t="shared" si="57"/>
        <v>459.09501400000005</v>
      </c>
      <c r="U242" s="11">
        <f t="shared" si="58"/>
        <v>426.911092</v>
      </c>
      <c r="V242" s="13">
        <f t="shared" si="59"/>
        <v>495.35500000000002</v>
      </c>
      <c r="X242" s="30"/>
    </row>
    <row r="243" spans="1:24" x14ac:dyDescent="0.25">
      <c r="A243" s="8">
        <v>241</v>
      </c>
      <c r="B243" s="8">
        <v>20.012</v>
      </c>
      <c r="C243" s="8">
        <v>85.083799999999997</v>
      </c>
      <c r="D243" s="8" t="s">
        <v>7</v>
      </c>
      <c r="E243" s="8" t="s">
        <v>93</v>
      </c>
      <c r="F243" s="8">
        <v>2</v>
      </c>
      <c r="G243" s="8">
        <v>807.12</v>
      </c>
      <c r="H243" s="8" t="s">
        <v>63</v>
      </c>
      <c r="I243" s="3">
        <f t="shared" si="46"/>
        <v>1.75</v>
      </c>
      <c r="J243" s="11">
        <f t="shared" si="47"/>
        <v>1114.6327200000001</v>
      </c>
      <c r="K243" s="11">
        <f t="shared" si="48"/>
        <v>977.09947199999988</v>
      </c>
      <c r="L243" s="11">
        <f t="shared" si="49"/>
        <v>817.28971200000001</v>
      </c>
      <c r="M243" s="11">
        <f t="shared" si="50"/>
        <v>651.91082399999993</v>
      </c>
      <c r="N243" s="11">
        <f t="shared" si="51"/>
        <v>458.68629600000003</v>
      </c>
      <c r="O243" s="11">
        <f t="shared" si="52"/>
        <v>458.68629600000003</v>
      </c>
      <c r="P243" s="11">
        <f t="shared" si="53"/>
        <v>1412.46</v>
      </c>
      <c r="Q243" s="11">
        <f t="shared" si="54"/>
        <v>1412.46</v>
      </c>
      <c r="R243" s="11">
        <f t="shared" si="55"/>
        <v>1412.46</v>
      </c>
      <c r="S243" s="11">
        <f t="shared" si="56"/>
        <v>1412.46</v>
      </c>
      <c r="T243" s="11">
        <f t="shared" si="57"/>
        <v>1309.0679280000002</v>
      </c>
      <c r="U243" s="11">
        <f t="shared" si="58"/>
        <v>1217.2983839999999</v>
      </c>
      <c r="V243" s="13">
        <f t="shared" si="59"/>
        <v>1412.46</v>
      </c>
      <c r="X243" s="30"/>
    </row>
    <row r="244" spans="1:24" x14ac:dyDescent="0.25">
      <c r="A244" s="8">
        <v>242</v>
      </c>
      <c r="B244" s="8">
        <v>20.017800000000001</v>
      </c>
      <c r="C244" s="8">
        <v>85.085599999999999</v>
      </c>
      <c r="D244" s="8" t="s">
        <v>7</v>
      </c>
      <c r="E244" s="8" t="s">
        <v>93</v>
      </c>
      <c r="F244" s="8">
        <v>2</v>
      </c>
      <c r="G244" s="8">
        <v>263.54000000000002</v>
      </c>
      <c r="H244" s="8" t="s">
        <v>63</v>
      </c>
      <c r="I244" s="3">
        <f t="shared" si="46"/>
        <v>1.75</v>
      </c>
      <c r="J244" s="11">
        <f t="shared" si="47"/>
        <v>363.94874000000004</v>
      </c>
      <c r="K244" s="11">
        <f t="shared" si="48"/>
        <v>319.04152399999998</v>
      </c>
      <c r="L244" s="11">
        <f t="shared" si="49"/>
        <v>266.86060400000002</v>
      </c>
      <c r="M244" s="11">
        <f t="shared" si="50"/>
        <v>212.86125800000002</v>
      </c>
      <c r="N244" s="11">
        <f t="shared" si="51"/>
        <v>149.76978200000002</v>
      </c>
      <c r="O244" s="11">
        <f t="shared" si="52"/>
        <v>149.76978200000002</v>
      </c>
      <c r="P244" s="11">
        <f t="shared" si="53"/>
        <v>461.19500000000005</v>
      </c>
      <c r="Q244" s="11">
        <f t="shared" si="54"/>
        <v>461.19500000000005</v>
      </c>
      <c r="R244" s="11">
        <f t="shared" si="55"/>
        <v>461.19500000000005</v>
      </c>
      <c r="S244" s="11">
        <f t="shared" si="56"/>
        <v>461.19500000000005</v>
      </c>
      <c r="T244" s="11">
        <f t="shared" si="57"/>
        <v>427.43552600000004</v>
      </c>
      <c r="U244" s="11">
        <f t="shared" si="58"/>
        <v>397.47102800000005</v>
      </c>
      <c r="V244" s="13">
        <f t="shared" si="59"/>
        <v>461.19500000000005</v>
      </c>
      <c r="X244" s="30"/>
    </row>
    <row r="245" spans="1:24" x14ac:dyDescent="0.25">
      <c r="A245" s="8">
        <v>243</v>
      </c>
      <c r="B245" s="8">
        <v>20.021999999999998</v>
      </c>
      <c r="C245" s="8">
        <v>85.102400000000003</v>
      </c>
      <c r="D245" s="8" t="s">
        <v>7</v>
      </c>
      <c r="E245" s="8" t="s">
        <v>93</v>
      </c>
      <c r="F245" s="8">
        <v>4</v>
      </c>
      <c r="G245" s="8">
        <v>1211.47</v>
      </c>
      <c r="H245" s="8" t="s">
        <v>63</v>
      </c>
      <c r="I245" s="3">
        <f t="shared" si="46"/>
        <v>3.75</v>
      </c>
      <c r="J245" s="11">
        <f t="shared" si="47"/>
        <v>4095.9800700000005</v>
      </c>
      <c r="K245" s="11">
        <f t="shared" si="48"/>
        <v>3889.5455819999997</v>
      </c>
      <c r="L245" s="11">
        <f t="shared" si="49"/>
        <v>3649.6745219999998</v>
      </c>
      <c r="M245" s="11">
        <f t="shared" si="50"/>
        <v>3401.4443190000002</v>
      </c>
      <c r="N245" s="11">
        <f t="shared" si="51"/>
        <v>3111.4184009999999</v>
      </c>
      <c r="O245" s="11">
        <f t="shared" si="52"/>
        <v>3111.4184009999999</v>
      </c>
      <c r="P245" s="11">
        <f t="shared" si="53"/>
        <v>4543.0124999999998</v>
      </c>
      <c r="Q245" s="11">
        <f t="shared" si="54"/>
        <v>4543.0124999999998</v>
      </c>
      <c r="R245" s="11">
        <f t="shared" si="55"/>
        <v>4543.0124999999998</v>
      </c>
      <c r="S245" s="11">
        <f t="shared" si="56"/>
        <v>4543.0124999999998</v>
      </c>
      <c r="T245" s="11">
        <f t="shared" si="57"/>
        <v>4387.8231930000002</v>
      </c>
      <c r="U245" s="11">
        <f t="shared" si="58"/>
        <v>4250.0790539999998</v>
      </c>
      <c r="V245" s="13">
        <f t="shared" si="59"/>
        <v>4543.0124999999998</v>
      </c>
      <c r="X245" s="30"/>
    </row>
    <row r="246" spans="1:24" x14ac:dyDescent="0.25">
      <c r="A246" s="8">
        <v>244</v>
      </c>
      <c r="B246" s="8">
        <v>20.022500000000001</v>
      </c>
      <c r="C246" s="8">
        <v>85.102500000000006</v>
      </c>
      <c r="D246" s="8" t="s">
        <v>7</v>
      </c>
      <c r="E246" s="8" t="s">
        <v>93</v>
      </c>
      <c r="F246" s="8">
        <v>4</v>
      </c>
      <c r="G246" s="8">
        <v>2633.12</v>
      </c>
      <c r="H246" s="8" t="s">
        <v>63</v>
      </c>
      <c r="I246" s="3">
        <f t="shared" si="46"/>
        <v>3.75</v>
      </c>
      <c r="J246" s="11">
        <f t="shared" si="47"/>
        <v>8902.5787199999995</v>
      </c>
      <c r="K246" s="11">
        <f t="shared" si="48"/>
        <v>8453.8950719999993</v>
      </c>
      <c r="L246" s="11">
        <f t="shared" si="49"/>
        <v>7932.5373119999995</v>
      </c>
      <c r="M246" s="11">
        <f t="shared" si="50"/>
        <v>7393.0110240000004</v>
      </c>
      <c r="N246" s="11">
        <f t="shared" si="51"/>
        <v>6762.6420959999996</v>
      </c>
      <c r="O246" s="11">
        <f t="shared" si="52"/>
        <v>6762.6420959999996</v>
      </c>
      <c r="P246" s="11">
        <f t="shared" si="53"/>
        <v>9874.1999999999989</v>
      </c>
      <c r="Q246" s="11">
        <f t="shared" si="54"/>
        <v>9874.1999999999989</v>
      </c>
      <c r="R246" s="11">
        <f t="shared" si="55"/>
        <v>9874.1999999999989</v>
      </c>
      <c r="S246" s="11">
        <f t="shared" si="56"/>
        <v>9874.1999999999989</v>
      </c>
      <c r="T246" s="11">
        <f t="shared" si="57"/>
        <v>9536.8973279999991</v>
      </c>
      <c r="U246" s="11">
        <f t="shared" si="58"/>
        <v>9237.5115839999999</v>
      </c>
      <c r="V246" s="13">
        <f t="shared" si="59"/>
        <v>9874.1999999999989</v>
      </c>
      <c r="X246" s="30"/>
    </row>
    <row r="247" spans="1:24" x14ac:dyDescent="0.25">
      <c r="A247" s="8">
        <v>245</v>
      </c>
      <c r="B247" s="8">
        <v>20.027100000000001</v>
      </c>
      <c r="C247" s="8">
        <v>85.1023</v>
      </c>
      <c r="D247" s="8" t="s">
        <v>7</v>
      </c>
      <c r="E247" s="8" t="s">
        <v>93</v>
      </c>
      <c r="F247" s="8">
        <v>4</v>
      </c>
      <c r="G247" s="8">
        <v>8810.5300000000007</v>
      </c>
      <c r="H247" s="8" t="s">
        <v>63</v>
      </c>
      <c r="I247" s="3">
        <f t="shared" si="46"/>
        <v>3.75</v>
      </c>
      <c r="J247" s="11">
        <f t="shared" si="47"/>
        <v>29788.401930000004</v>
      </c>
      <c r="K247" s="11">
        <f t="shared" si="48"/>
        <v>28287.087618000001</v>
      </c>
      <c r="L247" s="11">
        <f t="shared" si="49"/>
        <v>26542.602678000003</v>
      </c>
      <c r="M247" s="11">
        <f t="shared" si="50"/>
        <v>24737.325081000003</v>
      </c>
      <c r="N247" s="11">
        <f t="shared" si="51"/>
        <v>22628.084199000001</v>
      </c>
      <c r="O247" s="11">
        <f t="shared" si="52"/>
        <v>22628.084199000001</v>
      </c>
      <c r="P247" s="11">
        <f t="shared" si="53"/>
        <v>33039.487500000003</v>
      </c>
      <c r="Q247" s="11">
        <f t="shared" si="54"/>
        <v>33039.487500000003</v>
      </c>
      <c r="R247" s="11">
        <f t="shared" si="55"/>
        <v>33039.487500000003</v>
      </c>
      <c r="S247" s="11">
        <f t="shared" si="56"/>
        <v>33039.487500000003</v>
      </c>
      <c r="T247" s="11">
        <f t="shared" si="57"/>
        <v>31910.858607000002</v>
      </c>
      <c r="U247" s="11">
        <f t="shared" si="58"/>
        <v>30909.101346000003</v>
      </c>
      <c r="V247" s="13">
        <f t="shared" si="59"/>
        <v>33039.487500000003</v>
      </c>
      <c r="X247" s="30"/>
    </row>
    <row r="248" spans="1:24" x14ac:dyDescent="0.25">
      <c r="A248" s="8">
        <v>246</v>
      </c>
      <c r="B248" s="8">
        <v>20.03</v>
      </c>
      <c r="C248" s="8">
        <v>85.101299999999995</v>
      </c>
      <c r="D248" s="8" t="s">
        <v>7</v>
      </c>
      <c r="E248" s="8" t="s">
        <v>93</v>
      </c>
      <c r="F248" s="8">
        <v>4</v>
      </c>
      <c r="G248" s="8">
        <v>12278.69</v>
      </c>
      <c r="H248" s="8" t="s">
        <v>63</v>
      </c>
      <c r="I248" s="3">
        <f t="shared" si="46"/>
        <v>3.75</v>
      </c>
      <c r="J248" s="11">
        <f t="shared" si="47"/>
        <v>41514.250890000003</v>
      </c>
      <c r="K248" s="11">
        <f t="shared" si="48"/>
        <v>39421.962114000002</v>
      </c>
      <c r="L248" s="11">
        <f t="shared" si="49"/>
        <v>36990.781494000003</v>
      </c>
      <c r="M248" s="11">
        <f t="shared" si="50"/>
        <v>34474.877913000004</v>
      </c>
      <c r="N248" s="11">
        <f t="shared" si="51"/>
        <v>31535.359527000001</v>
      </c>
      <c r="O248" s="11">
        <f t="shared" si="52"/>
        <v>31535.359527000001</v>
      </c>
      <c r="P248" s="11">
        <f t="shared" si="53"/>
        <v>46045.087500000001</v>
      </c>
      <c r="Q248" s="11">
        <f t="shared" si="54"/>
        <v>46045.087500000001</v>
      </c>
      <c r="R248" s="11">
        <f t="shared" si="55"/>
        <v>46045.087500000001</v>
      </c>
      <c r="S248" s="11">
        <f t="shared" si="56"/>
        <v>46045.087500000001</v>
      </c>
      <c r="T248" s="11">
        <f t="shared" si="57"/>
        <v>44472.187311000002</v>
      </c>
      <c r="U248" s="11">
        <f t="shared" si="58"/>
        <v>43076.100257999999</v>
      </c>
      <c r="V248" s="13">
        <f t="shared" si="59"/>
        <v>46045.087500000001</v>
      </c>
      <c r="X248" s="30"/>
    </row>
    <row r="249" spans="1:24" x14ac:dyDescent="0.25">
      <c r="A249" s="8">
        <v>247</v>
      </c>
      <c r="B249" s="8">
        <v>20.032299999999999</v>
      </c>
      <c r="C249" s="8">
        <v>85.104799999999997</v>
      </c>
      <c r="D249" s="8" t="s">
        <v>7</v>
      </c>
      <c r="E249" s="8" t="s">
        <v>93</v>
      </c>
      <c r="F249" s="8">
        <v>3</v>
      </c>
      <c r="G249" s="8">
        <v>4675.3599999999997</v>
      </c>
      <c r="H249" s="8" t="s">
        <v>63</v>
      </c>
      <c r="I249" s="3">
        <f t="shared" si="46"/>
        <v>2.75</v>
      </c>
      <c r="J249" s="11">
        <f t="shared" si="47"/>
        <v>11132.032160000001</v>
      </c>
      <c r="K249" s="11">
        <f t="shared" si="48"/>
        <v>10335.350815999998</v>
      </c>
      <c r="L249" s="11">
        <f t="shared" si="49"/>
        <v>9409.6295359999986</v>
      </c>
      <c r="M249" s="11">
        <f t="shared" si="50"/>
        <v>8451.6482720000004</v>
      </c>
      <c r="N249" s="11">
        <f t="shared" si="51"/>
        <v>7332.367088</v>
      </c>
      <c r="O249" s="11">
        <f t="shared" si="52"/>
        <v>7332.367088</v>
      </c>
      <c r="P249" s="11">
        <f t="shared" si="53"/>
        <v>12857.24</v>
      </c>
      <c r="Q249" s="11">
        <f t="shared" si="54"/>
        <v>12857.24</v>
      </c>
      <c r="R249" s="11">
        <f t="shared" si="55"/>
        <v>12857.24</v>
      </c>
      <c r="S249" s="11">
        <f t="shared" si="56"/>
        <v>12857.24</v>
      </c>
      <c r="T249" s="11">
        <f t="shared" si="57"/>
        <v>12258.326384</v>
      </c>
      <c r="U249" s="11">
        <f t="shared" si="58"/>
        <v>11726.737951999999</v>
      </c>
      <c r="V249" s="13">
        <f t="shared" si="59"/>
        <v>12857.24</v>
      </c>
      <c r="X249" s="30"/>
    </row>
    <row r="250" spans="1:24" x14ac:dyDescent="0.25">
      <c r="A250" s="8">
        <v>248</v>
      </c>
      <c r="B250" s="8">
        <v>20.032299999999999</v>
      </c>
      <c r="C250" s="8">
        <v>85.109200000000001</v>
      </c>
      <c r="D250" s="8" t="s">
        <v>7</v>
      </c>
      <c r="E250" s="8" t="s">
        <v>93</v>
      </c>
      <c r="F250" s="8">
        <v>3</v>
      </c>
      <c r="G250" s="8">
        <v>3974.62</v>
      </c>
      <c r="H250" s="8" t="s">
        <v>63</v>
      </c>
      <c r="I250" s="3">
        <f t="shared" si="46"/>
        <v>2.75</v>
      </c>
      <c r="J250" s="11">
        <f t="shared" si="47"/>
        <v>9463.5702200000014</v>
      </c>
      <c r="K250" s="11">
        <f t="shared" si="48"/>
        <v>8786.2949719999997</v>
      </c>
      <c r="L250" s="11">
        <f t="shared" si="49"/>
        <v>7999.3202119999996</v>
      </c>
      <c r="M250" s="11">
        <f t="shared" si="50"/>
        <v>7184.9205739999998</v>
      </c>
      <c r="N250" s="11">
        <f t="shared" si="51"/>
        <v>6233.3965459999999</v>
      </c>
      <c r="O250" s="11">
        <f t="shared" si="52"/>
        <v>6233.3965459999999</v>
      </c>
      <c r="P250" s="11">
        <f t="shared" si="53"/>
        <v>10930.205</v>
      </c>
      <c r="Q250" s="11">
        <f t="shared" si="54"/>
        <v>10930.205</v>
      </c>
      <c r="R250" s="11">
        <f t="shared" si="55"/>
        <v>10930.205</v>
      </c>
      <c r="S250" s="11">
        <f t="shared" si="56"/>
        <v>10930.205</v>
      </c>
      <c r="T250" s="11">
        <f t="shared" si="57"/>
        <v>10421.056178000001</v>
      </c>
      <c r="U250" s="11">
        <f t="shared" si="58"/>
        <v>9969.1418840000006</v>
      </c>
      <c r="V250" s="13">
        <f t="shared" si="59"/>
        <v>10930.205</v>
      </c>
      <c r="X250" s="30"/>
    </row>
    <row r="251" spans="1:24" x14ac:dyDescent="0.25">
      <c r="A251" s="8">
        <v>249</v>
      </c>
      <c r="B251" s="8">
        <v>20.032499999999999</v>
      </c>
      <c r="C251" s="8">
        <v>85.115200000000002</v>
      </c>
      <c r="D251" s="8" t="s">
        <v>7</v>
      </c>
      <c r="E251" s="8" t="s">
        <v>93</v>
      </c>
      <c r="F251" s="8">
        <v>3.5</v>
      </c>
      <c r="G251" s="8">
        <v>5042.4799999999996</v>
      </c>
      <c r="H251" s="8" t="s">
        <v>63</v>
      </c>
      <c r="I251" s="3">
        <f t="shared" si="46"/>
        <v>3.25</v>
      </c>
      <c r="J251" s="11">
        <f t="shared" si="47"/>
        <v>14527.38488</v>
      </c>
      <c r="K251" s="11">
        <f t="shared" si="48"/>
        <v>13668.146287999998</v>
      </c>
      <c r="L251" s="11">
        <f t="shared" si="49"/>
        <v>12669.735247999999</v>
      </c>
      <c r="M251" s="11">
        <f t="shared" si="50"/>
        <v>11636.531095999999</v>
      </c>
      <c r="N251" s="11">
        <f t="shared" si="51"/>
        <v>10429.361383999998</v>
      </c>
      <c r="O251" s="11">
        <f t="shared" si="52"/>
        <v>10429.361383999998</v>
      </c>
      <c r="P251" s="11">
        <f t="shared" si="53"/>
        <v>16388.059999999998</v>
      </c>
      <c r="Q251" s="11">
        <f t="shared" si="54"/>
        <v>16388.059999999998</v>
      </c>
      <c r="R251" s="11">
        <f t="shared" si="55"/>
        <v>16388.059999999998</v>
      </c>
      <c r="S251" s="11">
        <f t="shared" si="56"/>
        <v>16388.059999999998</v>
      </c>
      <c r="T251" s="11">
        <f t="shared" si="57"/>
        <v>15742.118311999999</v>
      </c>
      <c r="U251" s="11">
        <f t="shared" si="58"/>
        <v>15168.788335999998</v>
      </c>
      <c r="V251" s="13">
        <f t="shared" si="59"/>
        <v>16388.059999999998</v>
      </c>
      <c r="X251" s="30"/>
    </row>
    <row r="252" spans="1:24" x14ac:dyDescent="0.25">
      <c r="A252" s="8">
        <v>250</v>
      </c>
      <c r="B252" s="8">
        <v>20.032599999999999</v>
      </c>
      <c r="C252" s="8">
        <v>85.118300000000005</v>
      </c>
      <c r="D252" s="8" t="s">
        <v>7</v>
      </c>
      <c r="E252" s="8" t="s">
        <v>93</v>
      </c>
      <c r="F252" s="8">
        <v>4</v>
      </c>
      <c r="G252" s="8">
        <v>2273.3200000000002</v>
      </c>
      <c r="H252" s="8" t="s">
        <v>63</v>
      </c>
      <c r="I252" s="3">
        <f t="shared" si="46"/>
        <v>3.75</v>
      </c>
      <c r="J252" s="11">
        <f t="shared" si="47"/>
        <v>7686.0949200000014</v>
      </c>
      <c r="K252" s="11">
        <f t="shared" si="48"/>
        <v>7298.721192</v>
      </c>
      <c r="L252" s="11">
        <f t="shared" si="49"/>
        <v>6848.6038320000007</v>
      </c>
      <c r="M252" s="11">
        <f t="shared" si="50"/>
        <v>6382.800564000001</v>
      </c>
      <c r="N252" s="11">
        <f t="shared" si="51"/>
        <v>5838.5677560000004</v>
      </c>
      <c r="O252" s="11">
        <f t="shared" si="52"/>
        <v>5838.5677560000004</v>
      </c>
      <c r="P252" s="11">
        <f t="shared" si="53"/>
        <v>8524.9500000000007</v>
      </c>
      <c r="Q252" s="11">
        <f t="shared" si="54"/>
        <v>8524.9500000000007</v>
      </c>
      <c r="R252" s="11">
        <f t="shared" si="55"/>
        <v>8524.9500000000007</v>
      </c>
      <c r="S252" s="11">
        <f t="shared" si="56"/>
        <v>8524.9500000000007</v>
      </c>
      <c r="T252" s="11">
        <f t="shared" si="57"/>
        <v>8233.7377080000006</v>
      </c>
      <c r="U252" s="11">
        <f t="shared" si="58"/>
        <v>7975.2612240000008</v>
      </c>
      <c r="V252" s="13">
        <f t="shared" si="59"/>
        <v>8524.9500000000007</v>
      </c>
      <c r="X252" s="30"/>
    </row>
    <row r="253" spans="1:24" x14ac:dyDescent="0.25">
      <c r="A253" s="8">
        <v>251</v>
      </c>
      <c r="B253" s="8">
        <v>20.031500000000001</v>
      </c>
      <c r="C253" s="8">
        <v>85.12</v>
      </c>
      <c r="D253" s="8" t="s">
        <v>7</v>
      </c>
      <c r="E253" s="8" t="s">
        <v>93</v>
      </c>
      <c r="F253" s="8">
        <v>4</v>
      </c>
      <c r="G253" s="8">
        <v>5983.81</v>
      </c>
      <c r="H253" s="8" t="s">
        <v>63</v>
      </c>
      <c r="I253" s="3">
        <f t="shared" si="46"/>
        <v>3.75</v>
      </c>
      <c r="J253" s="11">
        <f t="shared" si="47"/>
        <v>20231.261610000001</v>
      </c>
      <c r="K253" s="11">
        <f t="shared" si="48"/>
        <v>19211.620386000002</v>
      </c>
      <c r="L253" s="11">
        <f t="shared" si="49"/>
        <v>18026.826005999999</v>
      </c>
      <c r="M253" s="11">
        <f t="shared" si="50"/>
        <v>16800.743337</v>
      </c>
      <c r="N253" s="11">
        <f t="shared" si="51"/>
        <v>15368.219223</v>
      </c>
      <c r="O253" s="11">
        <f t="shared" si="52"/>
        <v>15368.219223</v>
      </c>
      <c r="P253" s="11">
        <f t="shared" si="53"/>
        <v>22439.287500000002</v>
      </c>
      <c r="Q253" s="11">
        <f t="shared" si="54"/>
        <v>22439.287500000002</v>
      </c>
      <c r="R253" s="11">
        <f t="shared" si="55"/>
        <v>22439.287500000002</v>
      </c>
      <c r="S253" s="11">
        <f t="shared" si="56"/>
        <v>22439.287500000002</v>
      </c>
      <c r="T253" s="11">
        <f t="shared" si="57"/>
        <v>21672.761439000002</v>
      </c>
      <c r="U253" s="11">
        <f t="shared" si="58"/>
        <v>20992.402242</v>
      </c>
      <c r="V253" s="13">
        <f t="shared" si="59"/>
        <v>22439.287500000002</v>
      </c>
      <c r="X253" s="30"/>
    </row>
    <row r="254" spans="1:24" x14ac:dyDescent="0.25">
      <c r="A254" s="8">
        <v>252</v>
      </c>
      <c r="B254" s="8">
        <v>20.0322</v>
      </c>
      <c r="C254" s="8">
        <v>85.12</v>
      </c>
      <c r="D254" s="8" t="s">
        <v>7</v>
      </c>
      <c r="E254" s="8" t="s">
        <v>93</v>
      </c>
      <c r="F254" s="8">
        <v>3</v>
      </c>
      <c r="G254" s="8">
        <v>917.97</v>
      </c>
      <c r="H254" s="8" t="s">
        <v>63</v>
      </c>
      <c r="I254" s="3">
        <f t="shared" si="46"/>
        <v>2.75</v>
      </c>
      <c r="J254" s="11">
        <f t="shared" si="47"/>
        <v>2185.6865700000003</v>
      </c>
      <c r="K254" s="11">
        <f t="shared" si="48"/>
        <v>2029.264482</v>
      </c>
      <c r="L254" s="11">
        <f t="shared" si="49"/>
        <v>1847.5064219999999</v>
      </c>
      <c r="M254" s="11">
        <f t="shared" si="50"/>
        <v>1659.4143690000001</v>
      </c>
      <c r="N254" s="11">
        <f t="shared" si="51"/>
        <v>1439.6523510000002</v>
      </c>
      <c r="O254" s="11">
        <f t="shared" si="52"/>
        <v>1439.6523510000002</v>
      </c>
      <c r="P254" s="11">
        <f t="shared" si="53"/>
        <v>2524.4175</v>
      </c>
      <c r="Q254" s="11">
        <f t="shared" si="54"/>
        <v>2524.4175</v>
      </c>
      <c r="R254" s="11">
        <f t="shared" si="55"/>
        <v>2524.4175</v>
      </c>
      <c r="S254" s="11">
        <f t="shared" si="56"/>
        <v>2524.4175</v>
      </c>
      <c r="T254" s="11">
        <f t="shared" si="57"/>
        <v>2406.8255430000004</v>
      </c>
      <c r="U254" s="11">
        <f t="shared" si="58"/>
        <v>2302.452354</v>
      </c>
      <c r="V254" s="13">
        <f t="shared" si="59"/>
        <v>2524.4175</v>
      </c>
      <c r="X254" s="30"/>
    </row>
    <row r="255" spans="1:24" x14ac:dyDescent="0.25">
      <c r="A255" s="8">
        <v>253</v>
      </c>
      <c r="B255" s="8">
        <v>20.028300000000002</v>
      </c>
      <c r="C255" s="8">
        <v>85.120599999999996</v>
      </c>
      <c r="D255" s="8" t="s">
        <v>7</v>
      </c>
      <c r="E255" s="8" t="s">
        <v>93</v>
      </c>
      <c r="F255" s="8">
        <v>3</v>
      </c>
      <c r="G255" s="8">
        <v>3690.95</v>
      </c>
      <c r="H255" s="8" t="s">
        <v>63</v>
      </c>
      <c r="I255" s="3">
        <f t="shared" si="46"/>
        <v>2.75</v>
      </c>
      <c r="J255" s="11">
        <f t="shared" si="47"/>
        <v>8788.1519500000013</v>
      </c>
      <c r="K255" s="11">
        <f t="shared" si="48"/>
        <v>8159.2140699999991</v>
      </c>
      <c r="L255" s="11">
        <f t="shared" si="49"/>
        <v>7428.4059699999998</v>
      </c>
      <c r="M255" s="11">
        <f t="shared" si="50"/>
        <v>6672.1303150000003</v>
      </c>
      <c r="N255" s="11">
        <f t="shared" si="51"/>
        <v>5788.516885</v>
      </c>
      <c r="O255" s="11">
        <f t="shared" si="52"/>
        <v>5788.516885</v>
      </c>
      <c r="P255" s="11">
        <f t="shared" si="53"/>
        <v>10150.112499999999</v>
      </c>
      <c r="Q255" s="11">
        <f t="shared" si="54"/>
        <v>10150.112499999999</v>
      </c>
      <c r="R255" s="11">
        <f t="shared" si="55"/>
        <v>10150.112499999999</v>
      </c>
      <c r="S255" s="11">
        <f t="shared" si="56"/>
        <v>10150.112499999999</v>
      </c>
      <c r="T255" s="11">
        <f t="shared" si="57"/>
        <v>9677.3018049999991</v>
      </c>
      <c r="U255" s="11">
        <f t="shared" si="58"/>
        <v>9257.6407899999995</v>
      </c>
      <c r="V255" s="13">
        <f t="shared" si="59"/>
        <v>10150.112499999999</v>
      </c>
      <c r="X255" s="30"/>
    </row>
    <row r="256" spans="1:24" x14ac:dyDescent="0.25">
      <c r="A256" s="8">
        <v>254</v>
      </c>
      <c r="B256" s="8">
        <v>20.027699999999999</v>
      </c>
      <c r="C256" s="8">
        <v>85.120599999999996</v>
      </c>
      <c r="D256" s="8" t="s">
        <v>7</v>
      </c>
      <c r="E256" s="8" t="s">
        <v>93</v>
      </c>
      <c r="F256" s="8">
        <v>3</v>
      </c>
      <c r="G256" s="8">
        <v>735.19</v>
      </c>
      <c r="H256" s="8" t="s">
        <v>63</v>
      </c>
      <c r="I256" s="3">
        <f t="shared" si="46"/>
        <v>2.75</v>
      </c>
      <c r="J256" s="11">
        <f t="shared" si="47"/>
        <v>1750.4873900000002</v>
      </c>
      <c r="K256" s="11">
        <f t="shared" si="48"/>
        <v>1625.211014</v>
      </c>
      <c r="L256" s="11">
        <f t="shared" si="49"/>
        <v>1479.6433940000002</v>
      </c>
      <c r="M256" s="11">
        <f t="shared" si="50"/>
        <v>1329.0029630000001</v>
      </c>
      <c r="N256" s="11">
        <f t="shared" si="51"/>
        <v>1152.9984770000001</v>
      </c>
      <c r="O256" s="11">
        <f t="shared" si="52"/>
        <v>1152.9984770000001</v>
      </c>
      <c r="P256" s="11">
        <f t="shared" si="53"/>
        <v>2021.7725</v>
      </c>
      <c r="Q256" s="11">
        <f t="shared" si="54"/>
        <v>2021.7725</v>
      </c>
      <c r="R256" s="11">
        <f t="shared" si="55"/>
        <v>2021.7725</v>
      </c>
      <c r="S256" s="11">
        <f t="shared" si="56"/>
        <v>2021.7725</v>
      </c>
      <c r="T256" s="11">
        <f t="shared" si="57"/>
        <v>1927.5946610000003</v>
      </c>
      <c r="U256" s="11">
        <f t="shared" si="58"/>
        <v>1844.0035580000001</v>
      </c>
      <c r="V256" s="13">
        <f t="shared" si="59"/>
        <v>2021.7725</v>
      </c>
      <c r="X256" s="30"/>
    </row>
    <row r="257" spans="1:24" x14ac:dyDescent="0.25">
      <c r="A257" s="8">
        <v>255</v>
      </c>
      <c r="B257" s="8">
        <v>20.0276</v>
      </c>
      <c r="C257" s="8">
        <v>85.1203</v>
      </c>
      <c r="D257" s="8" t="s">
        <v>7</v>
      </c>
      <c r="E257" s="8" t="s">
        <v>93</v>
      </c>
      <c r="F257" s="8">
        <v>3</v>
      </c>
      <c r="G257" s="8">
        <v>1606.96</v>
      </c>
      <c r="H257" s="8" t="s">
        <v>63</v>
      </c>
      <c r="I257" s="3">
        <f t="shared" si="46"/>
        <v>2.75</v>
      </c>
      <c r="J257" s="11">
        <f t="shared" si="47"/>
        <v>3826.1717600000006</v>
      </c>
      <c r="K257" s="11">
        <f t="shared" si="48"/>
        <v>3552.3457760000001</v>
      </c>
      <c r="L257" s="11">
        <f t="shared" si="49"/>
        <v>3234.167696</v>
      </c>
      <c r="M257" s="11">
        <f t="shared" si="50"/>
        <v>2904.9015920000002</v>
      </c>
      <c r="N257" s="11">
        <f t="shared" si="51"/>
        <v>2520.1953680000001</v>
      </c>
      <c r="O257" s="11">
        <f t="shared" si="52"/>
        <v>2520.1953680000001</v>
      </c>
      <c r="P257" s="11">
        <f t="shared" si="53"/>
        <v>4419.1400000000003</v>
      </c>
      <c r="Q257" s="11">
        <f t="shared" si="54"/>
        <v>4419.1400000000003</v>
      </c>
      <c r="R257" s="11">
        <f t="shared" si="55"/>
        <v>4419.1400000000003</v>
      </c>
      <c r="S257" s="11">
        <f t="shared" si="56"/>
        <v>4419.1400000000003</v>
      </c>
      <c r="T257" s="11">
        <f t="shared" si="57"/>
        <v>4213.2884240000003</v>
      </c>
      <c r="U257" s="11">
        <f t="shared" si="58"/>
        <v>4030.577072</v>
      </c>
      <c r="V257" s="13">
        <f t="shared" si="59"/>
        <v>4419.1400000000003</v>
      </c>
      <c r="X257" s="30"/>
    </row>
    <row r="258" spans="1:24" x14ac:dyDescent="0.25">
      <c r="A258" s="8">
        <v>256</v>
      </c>
      <c r="B258" s="8">
        <v>20.032399999999999</v>
      </c>
      <c r="C258" s="8">
        <v>85.121600000000001</v>
      </c>
      <c r="D258" s="8" t="s">
        <v>7</v>
      </c>
      <c r="E258" s="8" t="s">
        <v>93</v>
      </c>
      <c r="F258" s="8">
        <v>3</v>
      </c>
      <c r="G258" s="8">
        <v>1804.52</v>
      </c>
      <c r="H258" s="8" t="s">
        <v>61</v>
      </c>
      <c r="I258" s="3">
        <f t="shared" si="46"/>
        <v>2.75</v>
      </c>
      <c r="J258" s="11">
        <f t="shared" si="47"/>
        <v>4296.5621200000005</v>
      </c>
      <c r="K258" s="11">
        <f t="shared" si="48"/>
        <v>3989.0719119999999</v>
      </c>
      <c r="L258" s="11">
        <f t="shared" si="49"/>
        <v>3631.7769519999997</v>
      </c>
      <c r="M258" s="11">
        <f t="shared" si="50"/>
        <v>3262.030804</v>
      </c>
      <c r="N258" s="11">
        <f t="shared" si="51"/>
        <v>2830.0287159999998</v>
      </c>
      <c r="O258" s="11">
        <f t="shared" si="52"/>
        <v>2830.0287159999998</v>
      </c>
      <c r="P258" s="11">
        <f t="shared" si="53"/>
        <v>4962.43</v>
      </c>
      <c r="Q258" s="11">
        <f t="shared" si="54"/>
        <v>4962.43</v>
      </c>
      <c r="R258" s="11">
        <f t="shared" si="55"/>
        <v>4962.43</v>
      </c>
      <c r="S258" s="11">
        <f t="shared" si="56"/>
        <v>4962.43</v>
      </c>
      <c r="T258" s="11">
        <f t="shared" si="57"/>
        <v>4731.2709880000002</v>
      </c>
      <c r="U258" s="11">
        <f t="shared" si="58"/>
        <v>4526.0970639999996</v>
      </c>
      <c r="V258" s="13">
        <f t="shared" si="59"/>
        <v>4962.43</v>
      </c>
      <c r="X258" s="30"/>
    </row>
    <row r="259" spans="1:24" x14ac:dyDescent="0.25">
      <c r="A259" s="8">
        <v>257</v>
      </c>
      <c r="B259" s="8">
        <v>20.036799999999999</v>
      </c>
      <c r="C259" s="8">
        <v>85.118799999999993</v>
      </c>
      <c r="D259" s="8" t="s">
        <v>7</v>
      </c>
      <c r="E259" s="8" t="s">
        <v>93</v>
      </c>
      <c r="F259" s="8">
        <v>4</v>
      </c>
      <c r="G259" s="8">
        <v>3390.84</v>
      </c>
      <c r="H259" s="8" t="s">
        <v>61</v>
      </c>
      <c r="I259" s="3">
        <f t="shared" ref="I259:I297" si="60">F259-$AC$20</f>
        <v>3.75</v>
      </c>
      <c r="J259" s="11">
        <f t="shared" ref="J259:J297" si="61">IF($I259-Z$24&lt;0, 0, ($I259-Z$24)*$G259)</f>
        <v>11464.430040000001</v>
      </c>
      <c r="K259" s="11">
        <f t="shared" ref="K259:K297" si="62">IF($I259-AA$24&lt;0, 0, ($I259-AA$24)*$G259)</f>
        <v>10886.630904</v>
      </c>
      <c r="L259" s="11">
        <f t="shared" ref="L259:L297" si="63">IF($I259-AB$24&lt;0, 0, ($I259-AB$24)*$G259)</f>
        <v>10215.244584</v>
      </c>
      <c r="M259" s="11">
        <f t="shared" ref="M259:M297" si="64">IF($I259-AC$24&lt;0, 0, ($I259-AC$24)*$G259)</f>
        <v>9520.4614680000013</v>
      </c>
      <c r="N259" s="11">
        <f t="shared" ref="N259:N297" si="65">IF($I259-AD$24&lt;0, 0, ($I259-AD$24)*$G259)</f>
        <v>8708.6943719999999</v>
      </c>
      <c r="O259" s="11">
        <f t="shared" ref="O259:O297" si="66">IF($I259-AE$24&lt;0, 0, ($I259-AE$24)*$G259)</f>
        <v>8708.6943719999999</v>
      </c>
      <c r="P259" s="11">
        <f t="shared" ref="P259:P297" si="67">IF($I259-AF$24&lt;0, 0, ($I259-AF$24)*$G259)</f>
        <v>12715.650000000001</v>
      </c>
      <c r="Q259" s="11">
        <f t="shared" ref="Q259:Q297" si="68">IF($I259-AG$24&lt;0, 0, ($I259-AG$24)*$G259)</f>
        <v>12715.650000000001</v>
      </c>
      <c r="R259" s="11">
        <f t="shared" ref="R259:R297" si="69">IF($I259-AH$24&lt;0, 0, ($I259-AH$24)*$G259)</f>
        <v>12715.650000000001</v>
      </c>
      <c r="S259" s="11">
        <f t="shared" ref="S259:S297" si="70">IF($I259-AI$24&lt;0, 0, ($I259-AI$24)*$G259)</f>
        <v>12715.650000000001</v>
      </c>
      <c r="T259" s="11">
        <f t="shared" ref="T259:T297" si="71">IF($I259-AJ$24&lt;0, 0, ($I259-AJ$24)*$G259)</f>
        <v>12281.283396000001</v>
      </c>
      <c r="U259" s="11">
        <f t="shared" ref="U259:U297" si="72">IF($I259-AK$24&lt;0, 0, ($I259-AK$24)*$G259)</f>
        <v>11895.744888000001</v>
      </c>
      <c r="V259" s="13">
        <f t="shared" si="59"/>
        <v>12715.650000000001</v>
      </c>
      <c r="X259" s="30"/>
    </row>
    <row r="260" spans="1:24" x14ac:dyDescent="0.25">
      <c r="A260" s="8">
        <v>258</v>
      </c>
      <c r="B260" s="8">
        <v>20.043299999999999</v>
      </c>
      <c r="C260" s="8">
        <v>85.123599999999996</v>
      </c>
      <c r="D260" s="8" t="s">
        <v>7</v>
      </c>
      <c r="E260" s="8" t="s">
        <v>93</v>
      </c>
      <c r="F260" s="8">
        <v>4</v>
      </c>
      <c r="G260" s="8">
        <v>6520.01</v>
      </c>
      <c r="H260" s="8" t="s">
        <v>61</v>
      </c>
      <c r="I260" s="3">
        <f t="shared" si="60"/>
        <v>3.75</v>
      </c>
      <c r="J260" s="11">
        <f t="shared" si="61"/>
        <v>22044.153810000003</v>
      </c>
      <c r="K260" s="11">
        <f t="shared" si="62"/>
        <v>20933.144106</v>
      </c>
      <c r="L260" s="11">
        <f t="shared" si="63"/>
        <v>19642.182126</v>
      </c>
      <c r="M260" s="11">
        <f t="shared" si="64"/>
        <v>18306.232077000001</v>
      </c>
      <c r="N260" s="11">
        <f t="shared" si="65"/>
        <v>16745.341682999999</v>
      </c>
      <c r="O260" s="11">
        <f t="shared" si="66"/>
        <v>16745.341682999999</v>
      </c>
      <c r="P260" s="11">
        <f t="shared" si="67"/>
        <v>24450.037500000002</v>
      </c>
      <c r="Q260" s="11">
        <f t="shared" si="68"/>
        <v>24450.037500000002</v>
      </c>
      <c r="R260" s="11">
        <f t="shared" si="69"/>
        <v>24450.037500000002</v>
      </c>
      <c r="S260" s="11">
        <f t="shared" si="70"/>
        <v>24450.037500000002</v>
      </c>
      <c r="T260" s="11">
        <f t="shared" si="71"/>
        <v>23614.824219000002</v>
      </c>
      <c r="U260" s="11">
        <f t="shared" si="72"/>
        <v>22873.499082000002</v>
      </c>
      <c r="V260" s="13">
        <f t="shared" ref="V260:V297" si="73">MAX(J260:U260)</f>
        <v>24450.037500000002</v>
      </c>
      <c r="X260" s="30"/>
    </row>
    <row r="261" spans="1:24" x14ac:dyDescent="0.25">
      <c r="A261" s="8">
        <v>259</v>
      </c>
      <c r="B261" s="8">
        <v>20.043800000000001</v>
      </c>
      <c r="C261" s="8">
        <v>85.125200000000007</v>
      </c>
      <c r="D261" s="8" t="s">
        <v>7</v>
      </c>
      <c r="E261" s="8" t="s">
        <v>93</v>
      </c>
      <c r="F261" s="8">
        <v>2</v>
      </c>
      <c r="G261" s="8">
        <v>2467.36</v>
      </c>
      <c r="H261" s="8" t="s">
        <v>61</v>
      </c>
      <c r="I261" s="3">
        <f t="shared" si="60"/>
        <v>1.75</v>
      </c>
      <c r="J261" s="11">
        <f t="shared" si="61"/>
        <v>3407.42416</v>
      </c>
      <c r="K261" s="11">
        <f t="shared" si="62"/>
        <v>2986.9860159999998</v>
      </c>
      <c r="L261" s="11">
        <f t="shared" si="63"/>
        <v>2498.4487359999998</v>
      </c>
      <c r="M261" s="11">
        <f t="shared" si="64"/>
        <v>1992.8866720000001</v>
      </c>
      <c r="N261" s="11">
        <f t="shared" si="65"/>
        <v>1402.2006880000001</v>
      </c>
      <c r="O261" s="11">
        <f t="shared" si="66"/>
        <v>1402.2006880000001</v>
      </c>
      <c r="P261" s="11">
        <f t="shared" si="67"/>
        <v>4317.88</v>
      </c>
      <c r="Q261" s="11">
        <f t="shared" si="68"/>
        <v>4317.88</v>
      </c>
      <c r="R261" s="11">
        <f t="shared" si="69"/>
        <v>4317.88</v>
      </c>
      <c r="S261" s="11">
        <f t="shared" si="70"/>
        <v>4317.88</v>
      </c>
      <c r="T261" s="11">
        <f t="shared" si="71"/>
        <v>4001.8111840000006</v>
      </c>
      <c r="U261" s="11">
        <f t="shared" si="72"/>
        <v>3721.272352</v>
      </c>
      <c r="V261" s="13">
        <f t="shared" si="73"/>
        <v>4317.88</v>
      </c>
      <c r="X261" s="30"/>
    </row>
    <row r="262" spans="1:24" x14ac:dyDescent="0.25">
      <c r="A262" s="8">
        <v>260</v>
      </c>
      <c r="B262" s="8">
        <v>20.041399999999999</v>
      </c>
      <c r="C262" s="8">
        <v>85.127700000000004</v>
      </c>
      <c r="D262" s="8" t="s">
        <v>7</v>
      </c>
      <c r="E262" s="8" t="s">
        <v>93</v>
      </c>
      <c r="F262" s="8">
        <v>3</v>
      </c>
      <c r="G262" s="8">
        <v>7564.58</v>
      </c>
      <c r="H262" s="8" t="s">
        <v>61</v>
      </c>
      <c r="I262" s="3">
        <f t="shared" si="60"/>
        <v>2.75</v>
      </c>
      <c r="J262" s="11">
        <f t="shared" si="61"/>
        <v>18011.26498</v>
      </c>
      <c r="K262" s="11">
        <f t="shared" si="62"/>
        <v>16722.260547999998</v>
      </c>
      <c r="L262" s="11">
        <f t="shared" si="63"/>
        <v>15224.473708</v>
      </c>
      <c r="M262" s="11">
        <f t="shared" si="64"/>
        <v>13674.491266000001</v>
      </c>
      <c r="N262" s="11">
        <f t="shared" si="65"/>
        <v>11863.530814</v>
      </c>
      <c r="O262" s="11">
        <f t="shared" si="66"/>
        <v>11863.530814</v>
      </c>
      <c r="P262" s="11">
        <f t="shared" si="67"/>
        <v>20802.595000000001</v>
      </c>
      <c r="Q262" s="11">
        <f t="shared" si="68"/>
        <v>20802.595000000001</v>
      </c>
      <c r="R262" s="11">
        <f t="shared" si="69"/>
        <v>20802.595000000001</v>
      </c>
      <c r="S262" s="11">
        <f t="shared" si="70"/>
        <v>20802.595000000001</v>
      </c>
      <c r="T262" s="11">
        <f t="shared" si="71"/>
        <v>19833.572302</v>
      </c>
      <c r="U262" s="11">
        <f t="shared" si="72"/>
        <v>18973.479555999998</v>
      </c>
      <c r="V262" s="13">
        <f t="shared" si="73"/>
        <v>20802.595000000001</v>
      </c>
      <c r="X262" s="30"/>
    </row>
    <row r="263" spans="1:24" x14ac:dyDescent="0.25">
      <c r="A263" s="8">
        <v>261</v>
      </c>
      <c r="B263" s="8">
        <v>20.0428</v>
      </c>
      <c r="C263" s="8">
        <v>85.126800000000003</v>
      </c>
      <c r="D263" s="8" t="s">
        <v>7</v>
      </c>
      <c r="E263" s="8" t="s">
        <v>93</v>
      </c>
      <c r="F263" s="8">
        <v>2</v>
      </c>
      <c r="G263" s="8">
        <v>1402.35</v>
      </c>
      <c r="H263" s="8" t="s">
        <v>61</v>
      </c>
      <c r="I263" s="3">
        <f t="shared" si="60"/>
        <v>1.75</v>
      </c>
      <c r="J263" s="11">
        <f t="shared" si="61"/>
        <v>1936.6453499999998</v>
      </c>
      <c r="K263" s="11">
        <f t="shared" si="62"/>
        <v>1697.6849099999997</v>
      </c>
      <c r="L263" s="11">
        <f t="shared" si="63"/>
        <v>1420.0196099999998</v>
      </c>
      <c r="M263" s="11">
        <f t="shared" si="64"/>
        <v>1132.678095</v>
      </c>
      <c r="N263" s="11">
        <f t="shared" si="65"/>
        <v>796.95550500000002</v>
      </c>
      <c r="O263" s="11">
        <f t="shared" si="66"/>
        <v>796.95550500000002</v>
      </c>
      <c r="P263" s="11">
        <f t="shared" si="67"/>
        <v>2454.1124999999997</v>
      </c>
      <c r="Q263" s="11">
        <f t="shared" si="68"/>
        <v>2454.1124999999997</v>
      </c>
      <c r="R263" s="11">
        <f t="shared" si="69"/>
        <v>2454.1124999999997</v>
      </c>
      <c r="S263" s="11">
        <f t="shared" si="70"/>
        <v>2454.1124999999997</v>
      </c>
      <c r="T263" s="11">
        <f t="shared" si="71"/>
        <v>2274.4714650000001</v>
      </c>
      <c r="U263" s="11">
        <f t="shared" si="72"/>
        <v>2115.0242699999999</v>
      </c>
      <c r="V263" s="13">
        <f t="shared" si="73"/>
        <v>2454.1124999999997</v>
      </c>
      <c r="X263" s="30"/>
    </row>
    <row r="264" spans="1:24" x14ac:dyDescent="0.25">
      <c r="A264" s="8">
        <v>262</v>
      </c>
      <c r="B264" s="8">
        <v>20.048300000000001</v>
      </c>
      <c r="C264" s="8">
        <v>85.134200000000007</v>
      </c>
      <c r="D264" s="8" t="s">
        <v>7</v>
      </c>
      <c r="E264" s="8" t="s">
        <v>93</v>
      </c>
      <c r="F264" s="8">
        <v>3</v>
      </c>
      <c r="G264" s="8">
        <v>10991.71</v>
      </c>
      <c r="H264" s="8" t="s">
        <v>61</v>
      </c>
      <c r="I264" s="3">
        <f t="shared" si="60"/>
        <v>2.75</v>
      </c>
      <c r="J264" s="11">
        <f t="shared" si="61"/>
        <v>26171.26151</v>
      </c>
      <c r="K264" s="11">
        <f t="shared" si="62"/>
        <v>24298.274125999997</v>
      </c>
      <c r="L264" s="11">
        <f t="shared" si="63"/>
        <v>22121.915545999997</v>
      </c>
      <c r="M264" s="11">
        <f t="shared" si="64"/>
        <v>19869.714166999998</v>
      </c>
      <c r="N264" s="11">
        <f t="shared" si="65"/>
        <v>17238.298792999998</v>
      </c>
      <c r="O264" s="11">
        <f t="shared" si="66"/>
        <v>17238.298792999998</v>
      </c>
      <c r="P264" s="11">
        <f t="shared" si="67"/>
        <v>30227.202499999999</v>
      </c>
      <c r="Q264" s="11">
        <f t="shared" si="68"/>
        <v>30227.202499999999</v>
      </c>
      <c r="R264" s="11">
        <f t="shared" si="69"/>
        <v>30227.202499999999</v>
      </c>
      <c r="S264" s="11">
        <f t="shared" si="70"/>
        <v>30227.202499999999</v>
      </c>
      <c r="T264" s="11">
        <f t="shared" si="71"/>
        <v>28819.164449</v>
      </c>
      <c r="U264" s="11">
        <f t="shared" si="72"/>
        <v>27569.407021999999</v>
      </c>
      <c r="V264" s="13">
        <f t="shared" si="73"/>
        <v>30227.202499999999</v>
      </c>
      <c r="X264" s="30"/>
    </row>
    <row r="265" spans="1:24" x14ac:dyDescent="0.25">
      <c r="A265" s="8">
        <v>263</v>
      </c>
      <c r="B265" s="8">
        <v>20.039000000000001</v>
      </c>
      <c r="C265" s="8">
        <v>85.134699999999995</v>
      </c>
      <c r="D265" s="8" t="s">
        <v>7</v>
      </c>
      <c r="E265" s="8" t="s">
        <v>93</v>
      </c>
      <c r="F265" s="8">
        <v>2</v>
      </c>
      <c r="G265" s="8">
        <v>2149.75</v>
      </c>
      <c r="H265" s="8" t="s">
        <v>61</v>
      </c>
      <c r="I265" s="3">
        <f t="shared" si="60"/>
        <v>1.75</v>
      </c>
      <c r="J265" s="11">
        <f t="shared" si="61"/>
        <v>2968.8047499999998</v>
      </c>
      <c r="K265" s="11">
        <f t="shared" si="62"/>
        <v>2602.4873499999999</v>
      </c>
      <c r="L265" s="11">
        <f t="shared" si="63"/>
        <v>2176.8368499999997</v>
      </c>
      <c r="M265" s="11">
        <f t="shared" si="64"/>
        <v>1736.353075</v>
      </c>
      <c r="N265" s="11">
        <f t="shared" si="65"/>
        <v>1221.7029250000001</v>
      </c>
      <c r="O265" s="11">
        <f t="shared" si="66"/>
        <v>1221.7029250000001</v>
      </c>
      <c r="P265" s="11">
        <f t="shared" si="67"/>
        <v>3762.0625</v>
      </c>
      <c r="Q265" s="11">
        <f t="shared" si="68"/>
        <v>3762.0625</v>
      </c>
      <c r="R265" s="11">
        <f t="shared" si="69"/>
        <v>3762.0625</v>
      </c>
      <c r="S265" s="11">
        <f t="shared" si="70"/>
        <v>3762.0625</v>
      </c>
      <c r="T265" s="11">
        <f t="shared" si="71"/>
        <v>3486.6795250000005</v>
      </c>
      <c r="U265" s="11">
        <f t="shared" si="72"/>
        <v>3242.2529500000001</v>
      </c>
      <c r="V265" s="13">
        <f t="shared" si="73"/>
        <v>3762.0625</v>
      </c>
      <c r="X265" s="30"/>
    </row>
    <row r="266" spans="1:24" x14ac:dyDescent="0.25">
      <c r="A266" s="8">
        <v>264</v>
      </c>
      <c r="B266" s="8">
        <v>20.0474</v>
      </c>
      <c r="C266" s="8">
        <v>85.131299999999996</v>
      </c>
      <c r="D266" s="8" t="s">
        <v>7</v>
      </c>
      <c r="E266" s="8" t="s">
        <v>93</v>
      </c>
      <c r="F266" s="8">
        <v>2</v>
      </c>
      <c r="G266" s="8">
        <v>9033.7000000000007</v>
      </c>
      <c r="H266" s="8" t="s">
        <v>61</v>
      </c>
      <c r="I266" s="3">
        <f t="shared" si="60"/>
        <v>1.75</v>
      </c>
      <c r="J266" s="11">
        <f t="shared" si="61"/>
        <v>12475.539700000001</v>
      </c>
      <c r="K266" s="11">
        <f t="shared" si="62"/>
        <v>10936.19722</v>
      </c>
      <c r="L266" s="11">
        <f t="shared" si="63"/>
        <v>9147.5246200000001</v>
      </c>
      <c r="M266" s="11">
        <f t="shared" si="64"/>
        <v>7296.5194900000006</v>
      </c>
      <c r="N266" s="11">
        <f t="shared" si="65"/>
        <v>5133.8517100000008</v>
      </c>
      <c r="O266" s="11">
        <f t="shared" si="66"/>
        <v>5133.8517100000008</v>
      </c>
      <c r="P266" s="11">
        <f t="shared" si="67"/>
        <v>15808.975000000002</v>
      </c>
      <c r="Q266" s="11">
        <f t="shared" si="68"/>
        <v>15808.975000000002</v>
      </c>
      <c r="R266" s="11">
        <f t="shared" si="69"/>
        <v>15808.975000000002</v>
      </c>
      <c r="S266" s="11">
        <f t="shared" si="70"/>
        <v>15808.975000000002</v>
      </c>
      <c r="T266" s="11">
        <f t="shared" si="71"/>
        <v>14651.758030000003</v>
      </c>
      <c r="U266" s="11">
        <f t="shared" si="72"/>
        <v>13624.626340000001</v>
      </c>
      <c r="V266" s="13">
        <f t="shared" si="73"/>
        <v>15808.975000000002</v>
      </c>
      <c r="X266" s="30"/>
    </row>
    <row r="267" spans="1:24" x14ac:dyDescent="0.25">
      <c r="A267" s="8">
        <v>265</v>
      </c>
      <c r="B267" s="8">
        <v>20.049199999999999</v>
      </c>
      <c r="C267" s="8">
        <v>85.141300000000001</v>
      </c>
      <c r="D267" s="8" t="s">
        <v>7</v>
      </c>
      <c r="E267" s="8" t="s">
        <v>93</v>
      </c>
      <c r="F267" s="8">
        <v>2</v>
      </c>
      <c r="G267" s="8">
        <v>7909.18</v>
      </c>
      <c r="H267" s="8" t="s">
        <v>61</v>
      </c>
      <c r="I267" s="3">
        <f t="shared" si="60"/>
        <v>1.75</v>
      </c>
      <c r="J267" s="11">
        <f t="shared" si="61"/>
        <v>10922.577580000001</v>
      </c>
      <c r="K267" s="11">
        <f t="shared" si="62"/>
        <v>9574.8533079999997</v>
      </c>
      <c r="L267" s="11">
        <f t="shared" si="63"/>
        <v>8008.8356679999997</v>
      </c>
      <c r="M267" s="11">
        <f t="shared" si="64"/>
        <v>6388.244686</v>
      </c>
      <c r="N267" s="11">
        <f t="shared" si="65"/>
        <v>4494.786994</v>
      </c>
      <c r="O267" s="11">
        <f t="shared" si="66"/>
        <v>4494.786994</v>
      </c>
      <c r="P267" s="11">
        <f t="shared" si="67"/>
        <v>13841.065000000001</v>
      </c>
      <c r="Q267" s="11">
        <f t="shared" si="68"/>
        <v>13841.065000000001</v>
      </c>
      <c r="R267" s="11">
        <f t="shared" si="69"/>
        <v>13841.065000000001</v>
      </c>
      <c r="S267" s="11">
        <f t="shared" si="70"/>
        <v>13841.065000000001</v>
      </c>
      <c r="T267" s="11">
        <f t="shared" si="71"/>
        <v>12827.899042000001</v>
      </c>
      <c r="U267" s="11">
        <f t="shared" si="72"/>
        <v>11928.625276000001</v>
      </c>
      <c r="V267" s="13">
        <f t="shared" si="73"/>
        <v>13841.065000000001</v>
      </c>
      <c r="X267" s="30"/>
    </row>
    <row r="268" spans="1:24" x14ac:dyDescent="0.25">
      <c r="A268" s="8">
        <v>266</v>
      </c>
      <c r="B268" s="8">
        <v>20.053699999999999</v>
      </c>
      <c r="C268" s="8">
        <v>85.1417</v>
      </c>
      <c r="D268" s="8" t="s">
        <v>7</v>
      </c>
      <c r="E268" s="8" t="s">
        <v>93</v>
      </c>
      <c r="F268" s="8">
        <v>2</v>
      </c>
      <c r="G268" s="8">
        <v>4243.91</v>
      </c>
      <c r="H268" s="8" t="s">
        <v>61</v>
      </c>
      <c r="I268" s="3">
        <f t="shared" si="60"/>
        <v>1.75</v>
      </c>
      <c r="J268" s="11">
        <f t="shared" si="61"/>
        <v>5860.8397100000002</v>
      </c>
      <c r="K268" s="11">
        <f t="shared" si="62"/>
        <v>5137.6774459999997</v>
      </c>
      <c r="L268" s="11">
        <f t="shared" si="63"/>
        <v>4297.3832659999998</v>
      </c>
      <c r="M268" s="11">
        <f t="shared" si="64"/>
        <v>3427.8061069999999</v>
      </c>
      <c r="N268" s="11">
        <f t="shared" si="65"/>
        <v>2411.8140530000001</v>
      </c>
      <c r="O268" s="11">
        <f t="shared" si="66"/>
        <v>2411.8140530000001</v>
      </c>
      <c r="P268" s="11">
        <f t="shared" si="67"/>
        <v>7426.8424999999997</v>
      </c>
      <c r="Q268" s="11">
        <f t="shared" si="68"/>
        <v>7426.8424999999997</v>
      </c>
      <c r="R268" s="11">
        <f t="shared" si="69"/>
        <v>7426.8424999999997</v>
      </c>
      <c r="S268" s="11">
        <f t="shared" si="70"/>
        <v>7426.8424999999997</v>
      </c>
      <c r="T268" s="11">
        <f t="shared" si="71"/>
        <v>6883.1976290000002</v>
      </c>
      <c r="U268" s="11">
        <f t="shared" si="72"/>
        <v>6400.665062</v>
      </c>
      <c r="V268" s="13">
        <f t="shared" si="73"/>
        <v>7426.8424999999997</v>
      </c>
      <c r="X268" s="30"/>
    </row>
    <row r="269" spans="1:24" x14ac:dyDescent="0.25">
      <c r="A269" s="8">
        <v>267</v>
      </c>
      <c r="B269" s="8">
        <v>20.0579</v>
      </c>
      <c r="C269" s="8">
        <v>85.152100000000004</v>
      </c>
      <c r="D269" s="8" t="s">
        <v>7</v>
      </c>
      <c r="E269" s="8" t="s">
        <v>93</v>
      </c>
      <c r="F269" s="8">
        <v>4</v>
      </c>
      <c r="G269" s="8">
        <v>472.47</v>
      </c>
      <c r="H269" s="8" t="s">
        <v>61</v>
      </c>
      <c r="I269" s="3">
        <f t="shared" si="60"/>
        <v>3.75</v>
      </c>
      <c r="J269" s="11">
        <f t="shared" si="61"/>
        <v>1597.4210700000001</v>
      </c>
      <c r="K269" s="11">
        <f t="shared" si="62"/>
        <v>1516.912182</v>
      </c>
      <c r="L269" s="11">
        <f t="shared" si="63"/>
        <v>1423.363122</v>
      </c>
      <c r="M269" s="11">
        <f t="shared" si="64"/>
        <v>1326.5540190000002</v>
      </c>
      <c r="N269" s="11">
        <f t="shared" si="65"/>
        <v>1213.4447009999999</v>
      </c>
      <c r="O269" s="11">
        <f t="shared" si="66"/>
        <v>1213.4447009999999</v>
      </c>
      <c r="P269" s="11">
        <f t="shared" si="67"/>
        <v>1771.7625</v>
      </c>
      <c r="Q269" s="11">
        <f t="shared" si="68"/>
        <v>1771.7625</v>
      </c>
      <c r="R269" s="11">
        <f t="shared" si="69"/>
        <v>1771.7625</v>
      </c>
      <c r="S269" s="11">
        <f t="shared" si="70"/>
        <v>1771.7625</v>
      </c>
      <c r="T269" s="11">
        <f t="shared" si="71"/>
        <v>1711.2390930000001</v>
      </c>
      <c r="U269" s="11">
        <f t="shared" si="72"/>
        <v>1657.519254</v>
      </c>
      <c r="V269" s="13">
        <f t="shared" si="73"/>
        <v>1771.7625</v>
      </c>
      <c r="X269" s="30"/>
    </row>
    <row r="270" spans="1:24" x14ac:dyDescent="0.25">
      <c r="A270" s="8">
        <v>268</v>
      </c>
      <c r="B270" s="8">
        <v>20.0593</v>
      </c>
      <c r="C270" s="8">
        <v>85.154399999999995</v>
      </c>
      <c r="D270" s="8" t="s">
        <v>7</v>
      </c>
      <c r="E270" s="8" t="s">
        <v>93</v>
      </c>
      <c r="F270" s="8">
        <v>4</v>
      </c>
      <c r="G270" s="8">
        <v>3268.31</v>
      </c>
      <c r="H270" s="8" t="s">
        <v>61</v>
      </c>
      <c r="I270" s="3">
        <f t="shared" si="60"/>
        <v>3.75</v>
      </c>
      <c r="J270" s="11">
        <f t="shared" si="61"/>
        <v>11050.15611</v>
      </c>
      <c r="K270" s="11">
        <f t="shared" si="62"/>
        <v>10493.236085999999</v>
      </c>
      <c r="L270" s="11">
        <f t="shared" si="63"/>
        <v>9846.1107059999995</v>
      </c>
      <c r="M270" s="11">
        <f t="shared" si="64"/>
        <v>9176.4339870000003</v>
      </c>
      <c r="N270" s="11">
        <f t="shared" si="65"/>
        <v>8394.0005729999993</v>
      </c>
      <c r="O270" s="11">
        <f t="shared" si="66"/>
        <v>8394.0005729999993</v>
      </c>
      <c r="P270" s="11">
        <f t="shared" si="67"/>
        <v>12256.1625</v>
      </c>
      <c r="Q270" s="11">
        <f t="shared" si="68"/>
        <v>12256.1625</v>
      </c>
      <c r="R270" s="11">
        <f t="shared" si="69"/>
        <v>12256.1625</v>
      </c>
      <c r="S270" s="11">
        <f t="shared" si="70"/>
        <v>12256.1625</v>
      </c>
      <c r="T270" s="11">
        <f t="shared" si="71"/>
        <v>11837.491989</v>
      </c>
      <c r="U270" s="11">
        <f t="shared" si="72"/>
        <v>11465.885141999999</v>
      </c>
      <c r="V270" s="13">
        <f t="shared" si="73"/>
        <v>12256.1625</v>
      </c>
      <c r="X270" s="30"/>
    </row>
    <row r="271" spans="1:24" x14ac:dyDescent="0.25">
      <c r="A271" s="8">
        <v>269</v>
      </c>
      <c r="B271" s="8">
        <v>20.062100000000001</v>
      </c>
      <c r="C271" s="8">
        <v>85.158299999999997</v>
      </c>
      <c r="D271" s="8" t="s">
        <v>7</v>
      </c>
      <c r="E271" s="8" t="s">
        <v>93</v>
      </c>
      <c r="F271" s="8">
        <v>4</v>
      </c>
      <c r="G271" s="8">
        <v>1721.74</v>
      </c>
      <c r="H271" s="8" t="s">
        <v>61</v>
      </c>
      <c r="I271" s="3">
        <f t="shared" si="60"/>
        <v>3.75</v>
      </c>
      <c r="J271" s="11">
        <f t="shared" si="61"/>
        <v>5821.2029400000001</v>
      </c>
      <c r="K271" s="11">
        <f t="shared" si="62"/>
        <v>5527.8184439999995</v>
      </c>
      <c r="L271" s="11">
        <f t="shared" si="63"/>
        <v>5186.9139239999995</v>
      </c>
      <c r="M271" s="11">
        <f t="shared" si="64"/>
        <v>4834.129398</v>
      </c>
      <c r="N271" s="11">
        <f t="shared" si="65"/>
        <v>4421.9448419999999</v>
      </c>
      <c r="O271" s="11">
        <f t="shared" si="66"/>
        <v>4421.9448419999999</v>
      </c>
      <c r="P271" s="11">
        <f t="shared" si="67"/>
        <v>6456.5249999999996</v>
      </c>
      <c r="Q271" s="11">
        <f t="shared" si="68"/>
        <v>6456.5249999999996</v>
      </c>
      <c r="R271" s="11">
        <f t="shared" si="69"/>
        <v>6456.5249999999996</v>
      </c>
      <c r="S271" s="11">
        <f t="shared" si="70"/>
        <v>6456.5249999999996</v>
      </c>
      <c r="T271" s="11">
        <f t="shared" si="71"/>
        <v>6235.9701060000007</v>
      </c>
      <c r="U271" s="11">
        <f t="shared" si="72"/>
        <v>6040.2082680000003</v>
      </c>
      <c r="V271" s="13">
        <f t="shared" si="73"/>
        <v>6456.5249999999996</v>
      </c>
      <c r="X271" s="30"/>
    </row>
    <row r="272" spans="1:24" x14ac:dyDescent="0.25">
      <c r="A272" s="8">
        <v>270</v>
      </c>
      <c r="B272" s="8">
        <v>20.064699999999998</v>
      </c>
      <c r="C272" s="8">
        <v>85.162199999999999</v>
      </c>
      <c r="D272" s="8" t="s">
        <v>7</v>
      </c>
      <c r="E272" s="8" t="s">
        <v>93</v>
      </c>
      <c r="F272" s="8">
        <v>2</v>
      </c>
      <c r="G272" s="8">
        <v>574.84</v>
      </c>
      <c r="H272" s="8" t="s">
        <v>61</v>
      </c>
      <c r="I272" s="3">
        <f t="shared" si="60"/>
        <v>1.75</v>
      </c>
      <c r="J272" s="11">
        <f t="shared" si="61"/>
        <v>793.85404000000005</v>
      </c>
      <c r="K272" s="11">
        <f t="shared" si="62"/>
        <v>695.90130399999998</v>
      </c>
      <c r="L272" s="11">
        <f t="shared" si="63"/>
        <v>582.08298400000001</v>
      </c>
      <c r="M272" s="11">
        <f t="shared" si="64"/>
        <v>464.29826800000001</v>
      </c>
      <c r="N272" s="11">
        <f t="shared" si="65"/>
        <v>326.68157200000002</v>
      </c>
      <c r="O272" s="11">
        <f t="shared" si="66"/>
        <v>326.68157200000002</v>
      </c>
      <c r="P272" s="11">
        <f t="shared" si="67"/>
        <v>1005.97</v>
      </c>
      <c r="Q272" s="11">
        <f t="shared" si="68"/>
        <v>1005.97</v>
      </c>
      <c r="R272" s="11">
        <f t="shared" si="69"/>
        <v>1005.97</v>
      </c>
      <c r="S272" s="11">
        <f t="shared" si="70"/>
        <v>1005.97</v>
      </c>
      <c r="T272" s="11">
        <f t="shared" si="71"/>
        <v>932.33299600000009</v>
      </c>
      <c r="U272" s="11">
        <f t="shared" si="72"/>
        <v>866.97368800000004</v>
      </c>
      <c r="V272" s="13">
        <f t="shared" si="73"/>
        <v>1005.97</v>
      </c>
      <c r="X272" s="30"/>
    </row>
    <row r="273" spans="1:24" x14ac:dyDescent="0.25">
      <c r="A273" s="8">
        <v>271</v>
      </c>
      <c r="B273" s="8">
        <v>20.066700000000001</v>
      </c>
      <c r="C273" s="8">
        <v>85.163200000000003</v>
      </c>
      <c r="D273" s="8" t="s">
        <v>7</v>
      </c>
      <c r="E273" s="8" t="s">
        <v>93</v>
      </c>
      <c r="F273" s="8">
        <v>4</v>
      </c>
      <c r="G273" s="8">
        <v>9539.08</v>
      </c>
      <c r="H273" s="8" t="s">
        <v>61</v>
      </c>
      <c r="I273" s="3">
        <f t="shared" si="60"/>
        <v>3.75</v>
      </c>
      <c r="J273" s="11">
        <f t="shared" si="61"/>
        <v>32251.629480000003</v>
      </c>
      <c r="K273" s="11">
        <f t="shared" si="62"/>
        <v>30626.170247999999</v>
      </c>
      <c r="L273" s="11">
        <f t="shared" si="63"/>
        <v>28737.432408000001</v>
      </c>
      <c r="M273" s="11">
        <f t="shared" si="64"/>
        <v>26782.874916000001</v>
      </c>
      <c r="N273" s="11">
        <f t="shared" si="65"/>
        <v>24499.219163999998</v>
      </c>
      <c r="O273" s="11">
        <f t="shared" si="66"/>
        <v>24499.219163999998</v>
      </c>
      <c r="P273" s="11">
        <f t="shared" si="67"/>
        <v>35771.550000000003</v>
      </c>
      <c r="Q273" s="11">
        <f t="shared" si="68"/>
        <v>35771.550000000003</v>
      </c>
      <c r="R273" s="11">
        <f t="shared" si="69"/>
        <v>35771.550000000003</v>
      </c>
      <c r="S273" s="11">
        <f t="shared" si="70"/>
        <v>35771.550000000003</v>
      </c>
      <c r="T273" s="11">
        <f t="shared" si="71"/>
        <v>34549.593851999998</v>
      </c>
      <c r="U273" s="11">
        <f t="shared" si="72"/>
        <v>33465.000456000002</v>
      </c>
      <c r="V273" s="13">
        <f t="shared" si="73"/>
        <v>35771.550000000003</v>
      </c>
      <c r="X273" s="30"/>
    </row>
    <row r="274" spans="1:24" x14ac:dyDescent="0.25">
      <c r="A274" s="8">
        <v>272</v>
      </c>
      <c r="B274" s="8">
        <v>20.007899999999999</v>
      </c>
      <c r="C274" s="8">
        <v>84.971299999999999</v>
      </c>
      <c r="D274" s="8" t="s">
        <v>7</v>
      </c>
      <c r="E274" s="8" t="s">
        <v>93</v>
      </c>
      <c r="F274" s="8">
        <v>2</v>
      </c>
      <c r="G274" s="8">
        <v>554.70000000000005</v>
      </c>
      <c r="H274" s="8" t="s">
        <v>126</v>
      </c>
      <c r="I274" s="3">
        <f t="shared" si="60"/>
        <v>1.75</v>
      </c>
      <c r="J274" s="11">
        <f t="shared" si="61"/>
        <v>766.04070000000002</v>
      </c>
      <c r="K274" s="11">
        <f t="shared" si="62"/>
        <v>671.51981999999998</v>
      </c>
      <c r="L274" s="11">
        <f t="shared" si="63"/>
        <v>561.68921999999998</v>
      </c>
      <c r="M274" s="11">
        <f t="shared" si="64"/>
        <v>448.03119000000004</v>
      </c>
      <c r="N274" s="11">
        <f t="shared" si="65"/>
        <v>315.23601000000002</v>
      </c>
      <c r="O274" s="11">
        <f t="shared" si="66"/>
        <v>315.23601000000002</v>
      </c>
      <c r="P274" s="11">
        <f t="shared" si="67"/>
        <v>970.72500000000014</v>
      </c>
      <c r="Q274" s="11">
        <f t="shared" si="68"/>
        <v>970.72500000000014</v>
      </c>
      <c r="R274" s="11">
        <f t="shared" si="69"/>
        <v>970.72500000000014</v>
      </c>
      <c r="S274" s="11">
        <f t="shared" si="70"/>
        <v>970.72500000000014</v>
      </c>
      <c r="T274" s="11">
        <f t="shared" si="71"/>
        <v>899.66793000000018</v>
      </c>
      <c r="U274" s="11">
        <f t="shared" si="72"/>
        <v>836.59854000000007</v>
      </c>
      <c r="V274" s="13">
        <f t="shared" si="73"/>
        <v>970.72500000000014</v>
      </c>
      <c r="X274" s="30"/>
    </row>
    <row r="275" spans="1:24" x14ac:dyDescent="0.25">
      <c r="A275" s="8">
        <v>273</v>
      </c>
      <c r="B275" s="8">
        <v>20.0336</v>
      </c>
      <c r="C275" s="8">
        <v>84.9619</v>
      </c>
      <c r="D275" s="8" t="s">
        <v>7</v>
      </c>
      <c r="E275" s="8" t="s">
        <v>93</v>
      </c>
      <c r="F275" s="8">
        <v>2.5</v>
      </c>
      <c r="G275" s="8">
        <v>1216.56</v>
      </c>
      <c r="H275" s="8" t="s">
        <v>126</v>
      </c>
      <c r="I275" s="3">
        <f t="shared" si="60"/>
        <v>2.25</v>
      </c>
      <c r="J275" s="11">
        <f t="shared" si="61"/>
        <v>2288.3493599999997</v>
      </c>
      <c r="K275" s="11">
        <f t="shared" si="62"/>
        <v>2081.0475359999996</v>
      </c>
      <c r="L275" s="11">
        <f t="shared" si="63"/>
        <v>1840.1686559999998</v>
      </c>
      <c r="M275" s="11">
        <f t="shared" si="64"/>
        <v>1590.8955120000001</v>
      </c>
      <c r="N275" s="11">
        <f t="shared" si="65"/>
        <v>1299.6510479999999</v>
      </c>
      <c r="O275" s="11">
        <f t="shared" si="66"/>
        <v>1299.6510479999999</v>
      </c>
      <c r="P275" s="11">
        <f t="shared" si="67"/>
        <v>2737.2599999999998</v>
      </c>
      <c r="Q275" s="11">
        <f t="shared" si="68"/>
        <v>2737.2599999999998</v>
      </c>
      <c r="R275" s="11">
        <f t="shared" si="69"/>
        <v>2737.2599999999998</v>
      </c>
      <c r="S275" s="11">
        <f t="shared" si="70"/>
        <v>2737.2599999999998</v>
      </c>
      <c r="T275" s="11">
        <f t="shared" si="71"/>
        <v>2581.4186639999998</v>
      </c>
      <c r="U275" s="11">
        <f t="shared" si="72"/>
        <v>2443.0957920000001</v>
      </c>
      <c r="V275" s="13">
        <f t="shared" si="73"/>
        <v>2737.2599999999998</v>
      </c>
      <c r="X275" s="30"/>
    </row>
    <row r="276" spans="1:24" x14ac:dyDescent="0.25">
      <c r="A276" s="8">
        <v>274</v>
      </c>
      <c r="B276" s="8">
        <v>20.0334</v>
      </c>
      <c r="C276" s="8">
        <v>84.97</v>
      </c>
      <c r="D276" s="8" t="s">
        <v>7</v>
      </c>
      <c r="E276" s="8" t="s">
        <v>93</v>
      </c>
      <c r="F276" s="8">
        <v>3</v>
      </c>
      <c r="G276" s="8">
        <v>4255.91</v>
      </c>
      <c r="H276" s="8" t="s">
        <v>126</v>
      </c>
      <c r="I276" s="3">
        <f t="shared" si="60"/>
        <v>2.75</v>
      </c>
      <c r="J276" s="11">
        <f t="shared" si="61"/>
        <v>10133.32171</v>
      </c>
      <c r="K276" s="11">
        <f t="shared" si="62"/>
        <v>9408.114646</v>
      </c>
      <c r="L276" s="11">
        <f t="shared" si="63"/>
        <v>8565.444465999999</v>
      </c>
      <c r="M276" s="11">
        <f t="shared" si="64"/>
        <v>7693.4085070000001</v>
      </c>
      <c r="N276" s="11">
        <f t="shared" si="65"/>
        <v>6674.5436529999997</v>
      </c>
      <c r="O276" s="11">
        <f t="shared" si="66"/>
        <v>6674.5436529999997</v>
      </c>
      <c r="P276" s="11">
        <f t="shared" si="67"/>
        <v>11703.752499999999</v>
      </c>
      <c r="Q276" s="11">
        <f t="shared" si="68"/>
        <v>11703.752499999999</v>
      </c>
      <c r="R276" s="11">
        <f t="shared" si="69"/>
        <v>11703.752499999999</v>
      </c>
      <c r="S276" s="11">
        <f t="shared" si="70"/>
        <v>11703.752499999999</v>
      </c>
      <c r="T276" s="11">
        <f t="shared" si="71"/>
        <v>11158.570428999999</v>
      </c>
      <c r="U276" s="11">
        <f t="shared" si="72"/>
        <v>10674.673461999999</v>
      </c>
      <c r="V276" s="13">
        <f t="shared" si="73"/>
        <v>11703.752499999999</v>
      </c>
      <c r="X276" s="30"/>
    </row>
    <row r="277" spans="1:24" x14ac:dyDescent="0.25">
      <c r="A277" s="8">
        <v>275</v>
      </c>
      <c r="B277" s="8">
        <v>20.032900000000001</v>
      </c>
      <c r="C277" s="8">
        <v>84.977599999999995</v>
      </c>
      <c r="D277" s="8" t="s">
        <v>7</v>
      </c>
      <c r="E277" s="8" t="s">
        <v>93</v>
      </c>
      <c r="F277" s="8">
        <v>2</v>
      </c>
      <c r="G277" s="8">
        <v>140.15</v>
      </c>
      <c r="H277" s="8" t="s">
        <v>55</v>
      </c>
      <c r="I277" s="3">
        <f t="shared" si="60"/>
        <v>1.75</v>
      </c>
      <c r="J277" s="11">
        <f t="shared" si="61"/>
        <v>193.54715000000002</v>
      </c>
      <c r="K277" s="11">
        <f t="shared" si="62"/>
        <v>169.66558999999998</v>
      </c>
      <c r="L277" s="11">
        <f t="shared" si="63"/>
        <v>141.91588999999999</v>
      </c>
      <c r="M277" s="11">
        <f t="shared" si="64"/>
        <v>113.199155</v>
      </c>
      <c r="N277" s="11">
        <f t="shared" si="65"/>
        <v>79.647245000000012</v>
      </c>
      <c r="O277" s="11">
        <f t="shared" si="66"/>
        <v>79.647245000000012</v>
      </c>
      <c r="P277" s="11">
        <f t="shared" si="67"/>
        <v>245.26250000000002</v>
      </c>
      <c r="Q277" s="11">
        <f t="shared" si="68"/>
        <v>245.26250000000002</v>
      </c>
      <c r="R277" s="11">
        <f t="shared" si="69"/>
        <v>245.26250000000002</v>
      </c>
      <c r="S277" s="11">
        <f t="shared" si="70"/>
        <v>245.26250000000002</v>
      </c>
      <c r="T277" s="11">
        <f t="shared" si="71"/>
        <v>227.30928500000002</v>
      </c>
      <c r="U277" s="11">
        <f t="shared" si="72"/>
        <v>211.37423000000001</v>
      </c>
      <c r="V277" s="13">
        <f t="shared" si="73"/>
        <v>245.26250000000002</v>
      </c>
      <c r="X277" s="30"/>
    </row>
    <row r="278" spans="1:24" x14ac:dyDescent="0.25">
      <c r="A278" s="8">
        <v>276</v>
      </c>
      <c r="B278" s="8">
        <v>20.059000000000001</v>
      </c>
      <c r="C278" s="8">
        <v>85.026399999999995</v>
      </c>
      <c r="D278" s="8" t="s">
        <v>7</v>
      </c>
      <c r="E278" s="8" t="s">
        <v>93</v>
      </c>
      <c r="F278" s="8">
        <v>3</v>
      </c>
      <c r="G278" s="8">
        <v>4324.63</v>
      </c>
      <c r="H278" s="8" t="s">
        <v>62</v>
      </c>
      <c r="I278" s="3">
        <f t="shared" si="60"/>
        <v>2.75</v>
      </c>
      <c r="J278" s="11">
        <f t="shared" si="61"/>
        <v>10296.944030000001</v>
      </c>
      <c r="K278" s="11">
        <f t="shared" si="62"/>
        <v>9560.0270779999992</v>
      </c>
      <c r="L278" s="11">
        <f t="shared" si="63"/>
        <v>8703.7503379999998</v>
      </c>
      <c r="M278" s="11">
        <f t="shared" si="64"/>
        <v>7817.633651000001</v>
      </c>
      <c r="N278" s="11">
        <f t="shared" si="65"/>
        <v>6782.3172290000002</v>
      </c>
      <c r="O278" s="11">
        <f t="shared" si="66"/>
        <v>6782.3172290000002</v>
      </c>
      <c r="P278" s="11">
        <f t="shared" si="67"/>
        <v>11892.7325</v>
      </c>
      <c r="Q278" s="11">
        <f t="shared" si="68"/>
        <v>11892.7325</v>
      </c>
      <c r="R278" s="11">
        <f t="shared" si="69"/>
        <v>11892.7325</v>
      </c>
      <c r="S278" s="11">
        <f t="shared" si="70"/>
        <v>11892.7325</v>
      </c>
      <c r="T278" s="11">
        <f t="shared" si="71"/>
        <v>11338.747397000001</v>
      </c>
      <c r="U278" s="11">
        <f t="shared" si="72"/>
        <v>10847.036966</v>
      </c>
      <c r="V278" s="13">
        <f t="shared" si="73"/>
        <v>11892.7325</v>
      </c>
      <c r="X278" s="30"/>
    </row>
    <row r="279" spans="1:24" x14ac:dyDescent="0.25">
      <c r="A279" s="8">
        <v>277</v>
      </c>
      <c r="B279" s="8">
        <v>20.053799999999999</v>
      </c>
      <c r="C279" s="8">
        <v>85.031700000000001</v>
      </c>
      <c r="D279" s="8" t="s">
        <v>7</v>
      </c>
      <c r="E279" s="8" t="s">
        <v>93</v>
      </c>
      <c r="F279" s="8">
        <v>2</v>
      </c>
      <c r="G279" s="8">
        <v>612.29</v>
      </c>
      <c r="H279" s="8" t="s">
        <v>62</v>
      </c>
      <c r="I279" s="3">
        <f t="shared" si="60"/>
        <v>1.75</v>
      </c>
      <c r="J279" s="11">
        <f t="shared" si="61"/>
        <v>845.5724899999999</v>
      </c>
      <c r="K279" s="11">
        <f t="shared" si="62"/>
        <v>741.23827399999993</v>
      </c>
      <c r="L279" s="11">
        <f t="shared" si="63"/>
        <v>620.00485399999991</v>
      </c>
      <c r="M279" s="11">
        <f t="shared" si="64"/>
        <v>494.54663299999993</v>
      </c>
      <c r="N279" s="11">
        <f t="shared" si="65"/>
        <v>347.96440699999999</v>
      </c>
      <c r="O279" s="11">
        <f t="shared" si="66"/>
        <v>347.96440699999999</v>
      </c>
      <c r="P279" s="11">
        <f t="shared" si="67"/>
        <v>1071.5074999999999</v>
      </c>
      <c r="Q279" s="11">
        <f t="shared" si="68"/>
        <v>1071.5074999999999</v>
      </c>
      <c r="R279" s="11">
        <f t="shared" si="69"/>
        <v>1071.5074999999999</v>
      </c>
      <c r="S279" s="11">
        <f t="shared" si="70"/>
        <v>1071.5074999999999</v>
      </c>
      <c r="T279" s="11">
        <f t="shared" si="71"/>
        <v>993.07315100000005</v>
      </c>
      <c r="U279" s="11">
        <f t="shared" si="72"/>
        <v>923.4557779999999</v>
      </c>
      <c r="V279" s="13">
        <f t="shared" si="73"/>
        <v>1071.5074999999999</v>
      </c>
      <c r="X279" s="30"/>
    </row>
    <row r="280" spans="1:24" x14ac:dyDescent="0.25">
      <c r="A280" s="8">
        <v>278</v>
      </c>
      <c r="B280" s="8">
        <v>20.024100000000001</v>
      </c>
      <c r="C280" s="8">
        <v>85.108699999999999</v>
      </c>
      <c r="D280" s="8" t="s">
        <v>7</v>
      </c>
      <c r="E280" s="8" t="s">
        <v>93</v>
      </c>
      <c r="F280" s="8">
        <v>3</v>
      </c>
      <c r="G280" s="8">
        <v>2903.95</v>
      </c>
      <c r="H280" s="8" t="s">
        <v>63</v>
      </c>
      <c r="I280" s="3">
        <f t="shared" si="60"/>
        <v>2.75</v>
      </c>
      <c r="J280" s="11">
        <f t="shared" si="61"/>
        <v>6914.3049500000006</v>
      </c>
      <c r="K280" s="11">
        <f t="shared" si="62"/>
        <v>6419.4718699999994</v>
      </c>
      <c r="L280" s="11">
        <f t="shared" si="63"/>
        <v>5844.4897699999992</v>
      </c>
      <c r="M280" s="11">
        <f t="shared" si="64"/>
        <v>5249.4704149999998</v>
      </c>
      <c r="N280" s="11">
        <f t="shared" si="65"/>
        <v>4554.2647849999994</v>
      </c>
      <c r="O280" s="11">
        <f t="shared" si="66"/>
        <v>4554.2647849999994</v>
      </c>
      <c r="P280" s="11">
        <f t="shared" si="67"/>
        <v>7985.8624999999993</v>
      </c>
      <c r="Q280" s="11">
        <f t="shared" si="68"/>
        <v>7985.8624999999993</v>
      </c>
      <c r="R280" s="11">
        <f t="shared" si="69"/>
        <v>7985.8624999999993</v>
      </c>
      <c r="S280" s="11">
        <f t="shared" si="70"/>
        <v>7985.8624999999993</v>
      </c>
      <c r="T280" s="11">
        <f t="shared" si="71"/>
        <v>7613.866505</v>
      </c>
      <c r="U280" s="11">
        <f t="shared" si="72"/>
        <v>7283.6873899999991</v>
      </c>
      <c r="V280" s="13">
        <f t="shared" si="73"/>
        <v>7985.8624999999993</v>
      </c>
      <c r="X280" s="30"/>
    </row>
    <row r="281" spans="1:24" x14ac:dyDescent="0.25">
      <c r="A281" s="8">
        <v>279</v>
      </c>
      <c r="B281" s="8">
        <v>20.051100000000002</v>
      </c>
      <c r="C281" s="8">
        <v>85.146000000000001</v>
      </c>
      <c r="D281" s="8" t="s">
        <v>7</v>
      </c>
      <c r="E281" s="8" t="s">
        <v>93</v>
      </c>
      <c r="F281" s="8">
        <v>2</v>
      </c>
      <c r="G281" s="8">
        <v>263.58</v>
      </c>
      <c r="H281" s="8" t="s">
        <v>61</v>
      </c>
      <c r="I281" s="3">
        <f t="shared" si="60"/>
        <v>1.75</v>
      </c>
      <c r="J281" s="11">
        <f t="shared" si="61"/>
        <v>364.00397999999996</v>
      </c>
      <c r="K281" s="11">
        <f t="shared" si="62"/>
        <v>319.08994799999994</v>
      </c>
      <c r="L281" s="11">
        <f t="shared" si="63"/>
        <v>266.90110799999997</v>
      </c>
      <c r="M281" s="11">
        <f t="shared" si="64"/>
        <v>212.89356599999999</v>
      </c>
      <c r="N281" s="11">
        <f t="shared" si="65"/>
        <v>149.79251400000001</v>
      </c>
      <c r="O281" s="11">
        <f t="shared" si="66"/>
        <v>149.79251400000001</v>
      </c>
      <c r="P281" s="11">
        <f t="shared" si="67"/>
        <v>461.26499999999999</v>
      </c>
      <c r="Q281" s="11">
        <f t="shared" si="68"/>
        <v>461.26499999999999</v>
      </c>
      <c r="R281" s="11">
        <f t="shared" si="69"/>
        <v>461.26499999999999</v>
      </c>
      <c r="S281" s="11">
        <f t="shared" si="70"/>
        <v>461.26499999999999</v>
      </c>
      <c r="T281" s="11">
        <f t="shared" si="71"/>
        <v>427.50040200000001</v>
      </c>
      <c r="U281" s="11">
        <f t="shared" si="72"/>
        <v>397.53135599999996</v>
      </c>
      <c r="V281" s="13">
        <f t="shared" si="73"/>
        <v>461.26499999999999</v>
      </c>
      <c r="X281" s="30"/>
    </row>
    <row r="282" spans="1:24" x14ac:dyDescent="0.25">
      <c r="A282" s="8">
        <v>280</v>
      </c>
      <c r="B282" s="8">
        <v>20.051300000000001</v>
      </c>
      <c r="C282" s="8">
        <v>85.146299999999997</v>
      </c>
      <c r="D282" s="8" t="s">
        <v>7</v>
      </c>
      <c r="E282" s="8" t="s">
        <v>93</v>
      </c>
      <c r="F282" s="8">
        <v>2</v>
      </c>
      <c r="G282" s="8">
        <v>407.06</v>
      </c>
      <c r="H282" s="8" t="s">
        <v>61</v>
      </c>
      <c r="I282" s="3">
        <f t="shared" si="60"/>
        <v>1.75</v>
      </c>
      <c r="J282" s="11">
        <f t="shared" si="61"/>
        <v>562.14985999999999</v>
      </c>
      <c r="K282" s="11">
        <f t="shared" si="62"/>
        <v>492.78683599999994</v>
      </c>
      <c r="L282" s="11">
        <f t="shared" si="63"/>
        <v>412.18895599999996</v>
      </c>
      <c r="M282" s="11">
        <f t="shared" si="64"/>
        <v>328.78236199999998</v>
      </c>
      <c r="N282" s="11">
        <f t="shared" si="65"/>
        <v>231.33219800000001</v>
      </c>
      <c r="O282" s="11">
        <f t="shared" si="66"/>
        <v>231.33219800000001</v>
      </c>
      <c r="P282" s="11">
        <f t="shared" si="67"/>
        <v>712.35500000000002</v>
      </c>
      <c r="Q282" s="11">
        <f t="shared" si="68"/>
        <v>712.35500000000002</v>
      </c>
      <c r="R282" s="11">
        <f t="shared" si="69"/>
        <v>712.35500000000002</v>
      </c>
      <c r="S282" s="11">
        <f t="shared" si="70"/>
        <v>712.35500000000002</v>
      </c>
      <c r="T282" s="11">
        <f t="shared" si="71"/>
        <v>660.21061400000008</v>
      </c>
      <c r="U282" s="11">
        <f t="shared" si="72"/>
        <v>613.92789200000004</v>
      </c>
      <c r="V282" s="13">
        <f t="shared" si="73"/>
        <v>712.35500000000002</v>
      </c>
      <c r="X282" s="30"/>
    </row>
    <row r="283" spans="1:24" x14ac:dyDescent="0.25">
      <c r="A283" s="8">
        <v>281</v>
      </c>
      <c r="B283" s="8">
        <v>20.052299999999999</v>
      </c>
      <c r="C283" s="8">
        <v>85.143699999999995</v>
      </c>
      <c r="D283" s="8" t="s">
        <v>7</v>
      </c>
      <c r="E283" s="8" t="s">
        <v>93</v>
      </c>
      <c r="F283" s="8">
        <v>2</v>
      </c>
      <c r="G283" s="8">
        <v>773.85</v>
      </c>
      <c r="H283" s="8" t="s">
        <v>61</v>
      </c>
      <c r="I283" s="3">
        <f t="shared" si="60"/>
        <v>1.75</v>
      </c>
      <c r="J283" s="11">
        <f t="shared" si="61"/>
        <v>1068.68685</v>
      </c>
      <c r="K283" s="11">
        <f t="shared" si="62"/>
        <v>936.82281</v>
      </c>
      <c r="L283" s="11">
        <f t="shared" si="63"/>
        <v>783.60050999999999</v>
      </c>
      <c r="M283" s="11">
        <f t="shared" si="64"/>
        <v>625.03864499999997</v>
      </c>
      <c r="N283" s="11">
        <f t="shared" si="65"/>
        <v>439.77895500000005</v>
      </c>
      <c r="O283" s="11">
        <f t="shared" si="66"/>
        <v>439.77895500000005</v>
      </c>
      <c r="P283" s="11">
        <f t="shared" si="67"/>
        <v>1354.2375</v>
      </c>
      <c r="Q283" s="11">
        <f t="shared" si="68"/>
        <v>1354.2375</v>
      </c>
      <c r="R283" s="11">
        <f t="shared" si="69"/>
        <v>1354.2375</v>
      </c>
      <c r="S283" s="11">
        <f t="shared" si="70"/>
        <v>1354.2375</v>
      </c>
      <c r="T283" s="11">
        <f t="shared" si="71"/>
        <v>1255.1073150000002</v>
      </c>
      <c r="U283" s="11">
        <f t="shared" si="72"/>
        <v>1167.12057</v>
      </c>
      <c r="V283" s="13">
        <f t="shared" si="73"/>
        <v>1354.2375</v>
      </c>
      <c r="X283" s="30"/>
    </row>
    <row r="284" spans="1:24" x14ac:dyDescent="0.25">
      <c r="A284" s="8">
        <v>282</v>
      </c>
      <c r="B284" s="8">
        <v>20.0336</v>
      </c>
      <c r="C284" s="8">
        <v>85.086799999999997</v>
      </c>
      <c r="D284" s="8" t="s">
        <v>7</v>
      </c>
      <c r="E284" s="8" t="s">
        <v>93</v>
      </c>
      <c r="F284" s="8">
        <v>4</v>
      </c>
      <c r="G284" s="8">
        <v>579.34</v>
      </c>
      <c r="H284" s="8" t="s">
        <v>54</v>
      </c>
      <c r="I284" s="3">
        <f t="shared" si="60"/>
        <v>3.75</v>
      </c>
      <c r="J284" s="11">
        <f t="shared" si="61"/>
        <v>1958.7485400000003</v>
      </c>
      <c r="K284" s="11">
        <f t="shared" si="62"/>
        <v>1860.029004</v>
      </c>
      <c r="L284" s="11">
        <f t="shared" si="63"/>
        <v>1745.3196840000001</v>
      </c>
      <c r="M284" s="11">
        <f t="shared" si="64"/>
        <v>1626.612918</v>
      </c>
      <c r="N284" s="11">
        <f t="shared" si="65"/>
        <v>1487.9189220000001</v>
      </c>
      <c r="O284" s="11">
        <f t="shared" si="66"/>
        <v>1487.9189220000001</v>
      </c>
      <c r="P284" s="11">
        <f t="shared" si="67"/>
        <v>2172.5250000000001</v>
      </c>
      <c r="Q284" s="11">
        <f t="shared" si="68"/>
        <v>2172.5250000000001</v>
      </c>
      <c r="R284" s="11">
        <f t="shared" si="69"/>
        <v>2172.5250000000001</v>
      </c>
      <c r="S284" s="11">
        <f t="shared" si="70"/>
        <v>2172.5250000000001</v>
      </c>
      <c r="T284" s="11">
        <f t="shared" si="71"/>
        <v>2098.3115460000004</v>
      </c>
      <c r="U284" s="11">
        <f t="shared" si="72"/>
        <v>2032.4405880000002</v>
      </c>
      <c r="V284" s="13">
        <f t="shared" si="73"/>
        <v>2172.5250000000001</v>
      </c>
      <c r="X284" s="30"/>
    </row>
    <row r="285" spans="1:24" x14ac:dyDescent="0.25">
      <c r="A285" s="8">
        <v>283</v>
      </c>
      <c r="B285" s="8">
        <v>20.020099999999999</v>
      </c>
      <c r="C285" s="8">
        <v>85.066500000000005</v>
      </c>
      <c r="D285" s="8" t="s">
        <v>7</v>
      </c>
      <c r="E285" s="8" t="s">
        <v>93</v>
      </c>
      <c r="F285" s="8">
        <v>3</v>
      </c>
      <c r="G285" s="8">
        <v>1809.96</v>
      </c>
      <c r="H285" s="8" t="s">
        <v>59</v>
      </c>
      <c r="I285" s="3">
        <f t="shared" si="60"/>
        <v>2.75</v>
      </c>
      <c r="J285" s="11">
        <f t="shared" si="61"/>
        <v>4309.5147600000009</v>
      </c>
      <c r="K285" s="11">
        <f t="shared" si="62"/>
        <v>4001.0975760000001</v>
      </c>
      <c r="L285" s="11">
        <f t="shared" si="63"/>
        <v>3642.725496</v>
      </c>
      <c r="M285" s="11">
        <f t="shared" si="64"/>
        <v>3271.8646920000001</v>
      </c>
      <c r="N285" s="11">
        <f t="shared" si="65"/>
        <v>2838.5602680000002</v>
      </c>
      <c r="O285" s="11">
        <f t="shared" si="66"/>
        <v>2838.5602680000002</v>
      </c>
      <c r="P285" s="11">
        <f t="shared" si="67"/>
        <v>4977.3900000000003</v>
      </c>
      <c r="Q285" s="11">
        <f t="shared" si="68"/>
        <v>4977.3900000000003</v>
      </c>
      <c r="R285" s="11">
        <f t="shared" si="69"/>
        <v>4977.3900000000003</v>
      </c>
      <c r="S285" s="11">
        <f t="shared" si="70"/>
        <v>4977.3900000000003</v>
      </c>
      <c r="T285" s="11">
        <f t="shared" si="71"/>
        <v>4745.5341240000007</v>
      </c>
      <c r="U285" s="11">
        <f t="shared" si="72"/>
        <v>4539.7416720000001</v>
      </c>
      <c r="V285" s="13">
        <f t="shared" si="73"/>
        <v>4977.3900000000003</v>
      </c>
      <c r="X285" s="30"/>
    </row>
    <row r="286" spans="1:24" x14ac:dyDescent="0.25">
      <c r="A286" s="14">
        <v>284</v>
      </c>
      <c r="B286" s="24">
        <v>20.03829</v>
      </c>
      <c r="C286" s="24">
        <v>84.978359999999995</v>
      </c>
      <c r="D286" s="24" t="s">
        <v>94</v>
      </c>
      <c r="E286" s="24" t="s">
        <v>66</v>
      </c>
      <c r="F286" s="22">
        <v>0.5</v>
      </c>
      <c r="G286" s="24">
        <v>348.21050000000002</v>
      </c>
      <c r="H286" s="34" t="s">
        <v>55</v>
      </c>
      <c r="I286" s="5">
        <f t="shared" si="60"/>
        <v>0.25</v>
      </c>
      <c r="J286" s="11">
        <f t="shared" si="61"/>
        <v>0</v>
      </c>
      <c r="K286" s="11">
        <f t="shared" si="62"/>
        <v>0</v>
      </c>
      <c r="L286" s="11">
        <f t="shared" si="63"/>
        <v>0</v>
      </c>
      <c r="M286" s="11">
        <f t="shared" si="64"/>
        <v>0</v>
      </c>
      <c r="N286" s="11">
        <f t="shared" si="65"/>
        <v>0</v>
      </c>
      <c r="O286" s="11">
        <f t="shared" si="66"/>
        <v>0</v>
      </c>
      <c r="P286" s="11">
        <f t="shared" si="67"/>
        <v>87.052625000000006</v>
      </c>
      <c r="Q286" s="11">
        <f t="shared" si="68"/>
        <v>87.052625000000006</v>
      </c>
      <c r="R286" s="11">
        <f t="shared" si="69"/>
        <v>87.052625000000006</v>
      </c>
      <c r="S286" s="11">
        <f t="shared" si="70"/>
        <v>87.052625000000006</v>
      </c>
      <c r="T286" s="11">
        <f t="shared" si="71"/>
        <v>42.446859950000004</v>
      </c>
      <c r="U286" s="11">
        <f t="shared" si="72"/>
        <v>2.8553260999999952</v>
      </c>
      <c r="V286" s="13">
        <f t="shared" si="73"/>
        <v>87.052625000000006</v>
      </c>
      <c r="X286" s="30"/>
    </row>
    <row r="287" spans="1:24" x14ac:dyDescent="0.25">
      <c r="A287" s="14">
        <v>285</v>
      </c>
      <c r="B287" s="8">
        <v>20.02627</v>
      </c>
      <c r="C287" s="8">
        <v>85.106560000000002</v>
      </c>
      <c r="D287" s="8" t="s">
        <v>94</v>
      </c>
      <c r="E287" s="8" t="s">
        <v>41</v>
      </c>
      <c r="F287" s="5">
        <v>1.5</v>
      </c>
      <c r="G287" s="8">
        <v>6612.8860000000004</v>
      </c>
      <c r="H287" s="11" t="s">
        <v>63</v>
      </c>
      <c r="I287" s="5">
        <f t="shared" si="60"/>
        <v>1.25</v>
      </c>
      <c r="J287" s="11">
        <f t="shared" si="61"/>
        <v>5825.9525660000008</v>
      </c>
      <c r="K287" s="11">
        <f t="shared" si="62"/>
        <v>4699.1167916000004</v>
      </c>
      <c r="L287" s="11">
        <f t="shared" si="63"/>
        <v>3389.7653636</v>
      </c>
      <c r="M287" s="11">
        <f t="shared" si="64"/>
        <v>2034.7850222</v>
      </c>
      <c r="N287" s="11">
        <f t="shared" si="65"/>
        <v>451.6601138000002</v>
      </c>
      <c r="O287" s="11">
        <f t="shared" si="66"/>
        <v>451.6601138000002</v>
      </c>
      <c r="P287" s="11">
        <f t="shared" si="67"/>
        <v>8266.1075000000001</v>
      </c>
      <c r="Q287" s="11">
        <f t="shared" si="68"/>
        <v>8266.1075000000001</v>
      </c>
      <c r="R287" s="11">
        <f t="shared" si="69"/>
        <v>8266.1075000000001</v>
      </c>
      <c r="S287" s="11">
        <f t="shared" si="70"/>
        <v>8266.1075000000001</v>
      </c>
      <c r="T287" s="11">
        <f t="shared" si="71"/>
        <v>7418.9968034000012</v>
      </c>
      <c r="U287" s="11">
        <f t="shared" si="72"/>
        <v>6667.1116652000001</v>
      </c>
      <c r="V287" s="13">
        <f t="shared" si="73"/>
        <v>8266.1075000000001</v>
      </c>
      <c r="X287" s="30"/>
    </row>
    <row r="288" spans="1:24" x14ac:dyDescent="0.25">
      <c r="A288" s="14">
        <v>286</v>
      </c>
      <c r="B288" s="8">
        <v>20.016660000000002</v>
      </c>
      <c r="C288" s="8">
        <v>85.004230000000007</v>
      </c>
      <c r="D288" s="8" t="s">
        <v>94</v>
      </c>
      <c r="E288" s="8" t="s">
        <v>36</v>
      </c>
      <c r="F288" s="5">
        <v>1</v>
      </c>
      <c r="G288" s="8">
        <v>623.87940000000003</v>
      </c>
      <c r="H288" s="11" t="s">
        <v>60</v>
      </c>
      <c r="I288" s="5">
        <f t="shared" si="60"/>
        <v>0.75</v>
      </c>
      <c r="J288" s="11">
        <f t="shared" si="61"/>
        <v>237.69805140000003</v>
      </c>
      <c r="K288" s="11">
        <f t="shared" si="62"/>
        <v>131.38900164</v>
      </c>
      <c r="L288" s="11">
        <f t="shared" si="63"/>
        <v>7.8608804399999661</v>
      </c>
      <c r="M288" s="11">
        <f t="shared" si="64"/>
        <v>0</v>
      </c>
      <c r="N288" s="11">
        <f t="shared" si="65"/>
        <v>0</v>
      </c>
      <c r="O288" s="11">
        <f t="shared" si="66"/>
        <v>0</v>
      </c>
      <c r="P288" s="11">
        <f t="shared" si="67"/>
        <v>467.90955000000002</v>
      </c>
      <c r="Q288" s="11">
        <f t="shared" si="68"/>
        <v>467.90955000000002</v>
      </c>
      <c r="R288" s="11">
        <f t="shared" si="69"/>
        <v>467.90955000000002</v>
      </c>
      <c r="S288" s="11">
        <f t="shared" si="70"/>
        <v>467.90955000000002</v>
      </c>
      <c r="T288" s="11">
        <f t="shared" si="71"/>
        <v>387.99059886000003</v>
      </c>
      <c r="U288" s="11">
        <f t="shared" si="72"/>
        <v>317.05551108000003</v>
      </c>
      <c r="V288" s="13">
        <f t="shared" si="73"/>
        <v>467.90955000000002</v>
      </c>
      <c r="X288" s="30"/>
    </row>
    <row r="289" spans="1:24" x14ac:dyDescent="0.25">
      <c r="A289" s="14">
        <v>287</v>
      </c>
      <c r="B289" s="8">
        <v>20.005880000000001</v>
      </c>
      <c r="C289" s="8">
        <v>84.973089999999999</v>
      </c>
      <c r="D289" s="8" t="s">
        <v>94</v>
      </c>
      <c r="E289" s="8" t="s">
        <v>74</v>
      </c>
      <c r="F289" s="5">
        <v>1</v>
      </c>
      <c r="G289" s="8">
        <v>647.45860000000005</v>
      </c>
      <c r="H289" s="11" t="s">
        <v>55</v>
      </c>
      <c r="I289" s="5">
        <f t="shared" si="60"/>
        <v>0.75</v>
      </c>
      <c r="J289" s="11">
        <f t="shared" si="61"/>
        <v>246.68172660000002</v>
      </c>
      <c r="K289" s="11">
        <f t="shared" si="62"/>
        <v>136.35478116000002</v>
      </c>
      <c r="L289" s="11">
        <f t="shared" si="63"/>
        <v>8.157978359999964</v>
      </c>
      <c r="M289" s="11">
        <f t="shared" si="64"/>
        <v>0</v>
      </c>
      <c r="N289" s="11">
        <f t="shared" si="65"/>
        <v>0</v>
      </c>
      <c r="O289" s="11">
        <f t="shared" si="66"/>
        <v>0</v>
      </c>
      <c r="P289" s="11">
        <f t="shared" si="67"/>
        <v>485.59395000000006</v>
      </c>
      <c r="Q289" s="11">
        <f t="shared" si="68"/>
        <v>485.59395000000006</v>
      </c>
      <c r="R289" s="11">
        <f t="shared" si="69"/>
        <v>485.59395000000006</v>
      </c>
      <c r="S289" s="11">
        <f t="shared" si="70"/>
        <v>485.59395000000006</v>
      </c>
      <c r="T289" s="11">
        <f t="shared" si="71"/>
        <v>402.65450334000002</v>
      </c>
      <c r="U289" s="11">
        <f t="shared" si="72"/>
        <v>329.03846052</v>
      </c>
      <c r="V289" s="13">
        <f t="shared" si="73"/>
        <v>485.59395000000006</v>
      </c>
      <c r="X289" s="30"/>
    </row>
    <row r="290" spans="1:24" x14ac:dyDescent="0.25">
      <c r="A290" s="14">
        <v>288</v>
      </c>
      <c r="B290" s="8">
        <v>20.025569999999998</v>
      </c>
      <c r="C290" s="8">
        <v>85.008189999999999</v>
      </c>
      <c r="D290" s="8" t="s">
        <v>94</v>
      </c>
      <c r="E290" s="8" t="s">
        <v>67</v>
      </c>
      <c r="F290" s="5">
        <v>1</v>
      </c>
      <c r="G290" s="8">
        <v>678.81650000000002</v>
      </c>
      <c r="H290" s="11" t="s">
        <v>60</v>
      </c>
      <c r="I290" s="5">
        <f t="shared" si="60"/>
        <v>0.75</v>
      </c>
      <c r="J290" s="11">
        <f t="shared" si="61"/>
        <v>258.62908650000003</v>
      </c>
      <c r="K290" s="11">
        <f t="shared" si="62"/>
        <v>142.9587549</v>
      </c>
      <c r="L290" s="11">
        <f t="shared" si="63"/>
        <v>8.5530878999999622</v>
      </c>
      <c r="M290" s="11">
        <f t="shared" si="64"/>
        <v>0</v>
      </c>
      <c r="N290" s="11">
        <f t="shared" si="65"/>
        <v>0</v>
      </c>
      <c r="O290" s="11">
        <f t="shared" si="66"/>
        <v>0</v>
      </c>
      <c r="P290" s="11">
        <f t="shared" si="67"/>
        <v>509.11237500000004</v>
      </c>
      <c r="Q290" s="11">
        <f t="shared" si="68"/>
        <v>509.11237500000004</v>
      </c>
      <c r="R290" s="11">
        <f t="shared" si="69"/>
        <v>509.11237500000004</v>
      </c>
      <c r="S290" s="11">
        <f t="shared" si="70"/>
        <v>509.11237500000004</v>
      </c>
      <c r="T290" s="11">
        <f t="shared" si="71"/>
        <v>422.15598134999999</v>
      </c>
      <c r="U290" s="11">
        <f t="shared" si="72"/>
        <v>344.97454529999999</v>
      </c>
      <c r="V290" s="13">
        <f t="shared" si="73"/>
        <v>509.11237500000004</v>
      </c>
      <c r="X290" s="30"/>
    </row>
    <row r="291" spans="1:24" x14ac:dyDescent="0.25">
      <c r="A291" s="14">
        <v>289</v>
      </c>
      <c r="B291" s="8">
        <v>20.011310000000002</v>
      </c>
      <c r="C291" s="8">
        <v>84.975880000000004</v>
      </c>
      <c r="D291" s="8" t="s">
        <v>94</v>
      </c>
      <c r="E291" s="8" t="s">
        <v>68</v>
      </c>
      <c r="F291" s="5">
        <v>0.5</v>
      </c>
      <c r="G291" s="8">
        <v>346.65390000000002</v>
      </c>
      <c r="H291" s="11" t="s">
        <v>55</v>
      </c>
      <c r="I291" s="5">
        <f t="shared" si="60"/>
        <v>0.25</v>
      </c>
      <c r="J291" s="11">
        <f t="shared" si="61"/>
        <v>0</v>
      </c>
      <c r="K291" s="11">
        <f t="shared" si="62"/>
        <v>0</v>
      </c>
      <c r="L291" s="11">
        <f t="shared" si="63"/>
        <v>0</v>
      </c>
      <c r="M291" s="11">
        <f t="shared" si="64"/>
        <v>0</v>
      </c>
      <c r="N291" s="11">
        <f t="shared" si="65"/>
        <v>0</v>
      </c>
      <c r="O291" s="11">
        <f t="shared" si="66"/>
        <v>0</v>
      </c>
      <c r="P291" s="11">
        <f t="shared" si="67"/>
        <v>86.663475000000005</v>
      </c>
      <c r="Q291" s="11">
        <f t="shared" si="68"/>
        <v>86.663475000000005</v>
      </c>
      <c r="R291" s="11">
        <f t="shared" si="69"/>
        <v>86.663475000000005</v>
      </c>
      <c r="S291" s="11">
        <f t="shared" si="70"/>
        <v>86.663475000000005</v>
      </c>
      <c r="T291" s="11">
        <f t="shared" si="71"/>
        <v>42.257110410000003</v>
      </c>
      <c r="U291" s="11">
        <f t="shared" si="72"/>
        <v>2.8425619799999948</v>
      </c>
      <c r="V291" s="13">
        <f t="shared" si="73"/>
        <v>86.663475000000005</v>
      </c>
      <c r="X291" s="30"/>
    </row>
    <row r="292" spans="1:24" x14ac:dyDescent="0.25">
      <c r="A292" s="14">
        <v>290</v>
      </c>
      <c r="B292" s="8">
        <v>20.029969999999999</v>
      </c>
      <c r="C292" s="8">
        <v>84.980469999999997</v>
      </c>
      <c r="D292" s="8" t="s">
        <v>94</v>
      </c>
      <c r="E292" s="8" t="s">
        <v>69</v>
      </c>
      <c r="F292" s="5">
        <v>0.5</v>
      </c>
      <c r="G292" s="8">
        <v>179.35079999999999</v>
      </c>
      <c r="H292" s="11" t="s">
        <v>55</v>
      </c>
      <c r="I292" s="5">
        <f t="shared" si="60"/>
        <v>0.25</v>
      </c>
      <c r="J292" s="11">
        <f t="shared" si="61"/>
        <v>0</v>
      </c>
      <c r="K292" s="11">
        <f t="shared" si="62"/>
        <v>0</v>
      </c>
      <c r="L292" s="11">
        <f t="shared" si="63"/>
        <v>0</v>
      </c>
      <c r="M292" s="11">
        <f t="shared" si="64"/>
        <v>0</v>
      </c>
      <c r="N292" s="11">
        <f t="shared" si="65"/>
        <v>0</v>
      </c>
      <c r="O292" s="11">
        <f t="shared" si="66"/>
        <v>0</v>
      </c>
      <c r="P292" s="11">
        <f t="shared" si="67"/>
        <v>44.837699999999998</v>
      </c>
      <c r="Q292" s="11">
        <f t="shared" si="68"/>
        <v>44.837699999999998</v>
      </c>
      <c r="R292" s="11">
        <f t="shared" si="69"/>
        <v>44.837699999999998</v>
      </c>
      <c r="S292" s="11">
        <f t="shared" si="70"/>
        <v>44.837699999999998</v>
      </c>
      <c r="T292" s="11">
        <f t="shared" si="71"/>
        <v>21.86286252</v>
      </c>
      <c r="U292" s="11">
        <f t="shared" si="72"/>
        <v>1.4706765599999974</v>
      </c>
      <c r="V292" s="13">
        <f t="shared" si="73"/>
        <v>44.837699999999998</v>
      </c>
      <c r="X292" s="30"/>
    </row>
    <row r="293" spans="1:24" x14ac:dyDescent="0.25">
      <c r="A293" s="14">
        <v>291</v>
      </c>
      <c r="B293" s="8">
        <v>20.022839999999999</v>
      </c>
      <c r="C293" s="8">
        <v>85.049030000000002</v>
      </c>
      <c r="D293" s="8" t="s">
        <v>94</v>
      </c>
      <c r="E293" s="8" t="s">
        <v>70</v>
      </c>
      <c r="F293" s="5">
        <v>0.3</v>
      </c>
      <c r="G293" s="8">
        <v>56.44811</v>
      </c>
      <c r="H293" s="11" t="s">
        <v>59</v>
      </c>
      <c r="I293" s="5">
        <f t="shared" si="60"/>
        <v>4.9999999999999989E-2</v>
      </c>
      <c r="J293" s="11">
        <f t="shared" si="61"/>
        <v>0</v>
      </c>
      <c r="K293" s="11">
        <f t="shared" si="62"/>
        <v>0</v>
      </c>
      <c r="L293" s="11">
        <f t="shared" si="63"/>
        <v>0</v>
      </c>
      <c r="M293" s="11">
        <f t="shared" si="64"/>
        <v>0</v>
      </c>
      <c r="N293" s="11">
        <f t="shared" si="65"/>
        <v>0</v>
      </c>
      <c r="O293" s="11">
        <f t="shared" si="66"/>
        <v>0</v>
      </c>
      <c r="P293" s="11">
        <f t="shared" si="67"/>
        <v>2.8224054999999995</v>
      </c>
      <c r="Q293" s="11">
        <f t="shared" si="68"/>
        <v>2.8224054999999995</v>
      </c>
      <c r="R293" s="11">
        <f t="shared" si="69"/>
        <v>2.8224054999999995</v>
      </c>
      <c r="S293" s="11">
        <f t="shared" si="70"/>
        <v>2.8224054999999995</v>
      </c>
      <c r="T293" s="11">
        <f t="shared" si="71"/>
        <v>0</v>
      </c>
      <c r="U293" s="11">
        <f t="shared" si="72"/>
        <v>0</v>
      </c>
      <c r="V293" s="13">
        <f t="shared" si="73"/>
        <v>2.8224054999999995</v>
      </c>
      <c r="X293" s="30"/>
    </row>
    <row r="294" spans="1:24" x14ac:dyDescent="0.25">
      <c r="A294" s="14">
        <v>292</v>
      </c>
      <c r="B294" s="8">
        <v>20.05452</v>
      </c>
      <c r="C294" s="8">
        <v>85.102549999999994</v>
      </c>
      <c r="D294" s="8" t="s">
        <v>94</v>
      </c>
      <c r="E294" s="8" t="s">
        <v>37</v>
      </c>
      <c r="F294" s="5">
        <v>0.5</v>
      </c>
      <c r="G294" s="8">
        <v>1580.1210000000001</v>
      </c>
      <c r="H294" s="11" t="s">
        <v>53</v>
      </c>
      <c r="I294" s="5">
        <f t="shared" si="60"/>
        <v>0.25</v>
      </c>
      <c r="J294" s="11">
        <f t="shared" si="61"/>
        <v>0</v>
      </c>
      <c r="K294" s="11">
        <f t="shared" si="62"/>
        <v>0</v>
      </c>
      <c r="L294" s="11">
        <f t="shared" si="63"/>
        <v>0</v>
      </c>
      <c r="M294" s="11">
        <f t="shared" si="64"/>
        <v>0</v>
      </c>
      <c r="N294" s="11">
        <f t="shared" si="65"/>
        <v>0</v>
      </c>
      <c r="O294" s="11">
        <f t="shared" si="66"/>
        <v>0</v>
      </c>
      <c r="P294" s="11">
        <f t="shared" si="67"/>
        <v>395.03025000000002</v>
      </c>
      <c r="Q294" s="11">
        <f t="shared" si="68"/>
        <v>395.03025000000002</v>
      </c>
      <c r="R294" s="11">
        <f t="shared" si="69"/>
        <v>395.03025000000002</v>
      </c>
      <c r="S294" s="11">
        <f t="shared" si="70"/>
        <v>395.03025000000002</v>
      </c>
      <c r="T294" s="11">
        <f t="shared" si="71"/>
        <v>192.61674990000003</v>
      </c>
      <c r="U294" s="11">
        <f t="shared" si="72"/>
        <v>12.956992199999977</v>
      </c>
      <c r="V294" s="13">
        <f t="shared" si="73"/>
        <v>395.03025000000002</v>
      </c>
      <c r="X294" s="30"/>
    </row>
    <row r="295" spans="1:24" x14ac:dyDescent="0.25">
      <c r="A295" s="14">
        <v>293</v>
      </c>
      <c r="B295" s="8">
        <v>20.036449999999999</v>
      </c>
      <c r="C295" s="8">
        <v>84.982380000000006</v>
      </c>
      <c r="D295" s="8" t="s">
        <v>94</v>
      </c>
      <c r="E295" s="8" t="s">
        <v>71</v>
      </c>
      <c r="F295" s="5">
        <v>1.5</v>
      </c>
      <c r="G295" s="8">
        <v>504.90719999999999</v>
      </c>
      <c r="H295" s="11" t="s">
        <v>55</v>
      </c>
      <c r="I295" s="5">
        <f t="shared" si="60"/>
        <v>1.25</v>
      </c>
      <c r="J295" s="11">
        <f t="shared" si="61"/>
        <v>444.82324319999998</v>
      </c>
      <c r="K295" s="11">
        <f t="shared" si="62"/>
        <v>358.78705631999998</v>
      </c>
      <c r="L295" s="11">
        <f t="shared" si="63"/>
        <v>258.81543071999994</v>
      </c>
      <c r="M295" s="11">
        <f t="shared" si="64"/>
        <v>155.35994543999999</v>
      </c>
      <c r="N295" s="11">
        <f t="shared" si="65"/>
        <v>34.485161760000011</v>
      </c>
      <c r="O295" s="11">
        <f t="shared" si="66"/>
        <v>34.485161760000011</v>
      </c>
      <c r="P295" s="11">
        <f t="shared" si="67"/>
        <v>631.13400000000001</v>
      </c>
      <c r="Q295" s="11">
        <f t="shared" si="68"/>
        <v>631.13400000000001</v>
      </c>
      <c r="R295" s="11">
        <f t="shared" si="69"/>
        <v>631.13400000000001</v>
      </c>
      <c r="S295" s="11">
        <f t="shared" si="70"/>
        <v>631.13400000000001</v>
      </c>
      <c r="T295" s="11">
        <f t="shared" si="71"/>
        <v>566.45538768000006</v>
      </c>
      <c r="U295" s="11">
        <f t="shared" si="72"/>
        <v>509.04743903999997</v>
      </c>
      <c r="V295" s="13">
        <f t="shared" si="73"/>
        <v>631.13400000000001</v>
      </c>
      <c r="X295" s="30"/>
    </row>
    <row r="296" spans="1:24" x14ac:dyDescent="0.25">
      <c r="A296" s="14">
        <v>294</v>
      </c>
      <c r="B296" s="8">
        <v>20.030259999999998</v>
      </c>
      <c r="C296" s="8">
        <v>84.992859999999993</v>
      </c>
      <c r="D296" s="8" t="s">
        <v>94</v>
      </c>
      <c r="E296" s="8" t="s">
        <v>72</v>
      </c>
      <c r="F296" s="5">
        <v>1</v>
      </c>
      <c r="G296" s="8">
        <v>1435.2550000000001</v>
      </c>
      <c r="H296" s="11" t="s">
        <v>57</v>
      </c>
      <c r="I296" s="5">
        <f t="shared" si="60"/>
        <v>0.75</v>
      </c>
      <c r="J296" s="11">
        <f t="shared" si="61"/>
        <v>546.83215500000006</v>
      </c>
      <c r="K296" s="11">
        <f t="shared" si="62"/>
        <v>302.26470300000005</v>
      </c>
      <c r="L296" s="11">
        <f t="shared" si="63"/>
        <v>18.08421299999992</v>
      </c>
      <c r="M296" s="11">
        <f t="shared" si="64"/>
        <v>0</v>
      </c>
      <c r="N296" s="11">
        <f t="shared" si="65"/>
        <v>0</v>
      </c>
      <c r="O296" s="11">
        <f t="shared" si="66"/>
        <v>0</v>
      </c>
      <c r="P296" s="11">
        <f t="shared" si="67"/>
        <v>1076.4412500000001</v>
      </c>
      <c r="Q296" s="11">
        <f t="shared" si="68"/>
        <v>1076.4412500000001</v>
      </c>
      <c r="R296" s="11">
        <f t="shared" si="69"/>
        <v>1076.4412500000001</v>
      </c>
      <c r="S296" s="11">
        <f t="shared" si="70"/>
        <v>1076.4412500000001</v>
      </c>
      <c r="T296" s="11">
        <f t="shared" si="71"/>
        <v>892.58508450000011</v>
      </c>
      <c r="U296" s="11">
        <f t="shared" si="72"/>
        <v>729.39659100000006</v>
      </c>
      <c r="V296" s="13">
        <f t="shared" si="73"/>
        <v>1076.4412500000001</v>
      </c>
      <c r="X296" s="30"/>
    </row>
    <row r="297" spans="1:24" x14ac:dyDescent="0.25">
      <c r="A297" s="14">
        <v>295</v>
      </c>
      <c r="B297" s="8">
        <v>20.04514</v>
      </c>
      <c r="C297" s="8">
        <v>85.035550000000001</v>
      </c>
      <c r="D297" s="8" t="s">
        <v>94</v>
      </c>
      <c r="E297" s="8" t="s">
        <v>73</v>
      </c>
      <c r="F297" s="5">
        <v>1</v>
      </c>
      <c r="G297" s="8">
        <v>316.96080000000001</v>
      </c>
      <c r="H297" s="11" t="s">
        <v>62</v>
      </c>
      <c r="I297" s="5">
        <f t="shared" si="60"/>
        <v>0.75</v>
      </c>
      <c r="J297" s="11">
        <f t="shared" si="61"/>
        <v>120.7620648</v>
      </c>
      <c r="K297" s="11">
        <f t="shared" si="62"/>
        <v>66.751944480000006</v>
      </c>
      <c r="L297" s="11">
        <f t="shared" si="63"/>
        <v>3.9937060799999826</v>
      </c>
      <c r="M297" s="11">
        <f t="shared" si="64"/>
        <v>0</v>
      </c>
      <c r="N297" s="11">
        <f t="shared" si="65"/>
        <v>0</v>
      </c>
      <c r="O297" s="11">
        <f t="shared" si="66"/>
        <v>0</v>
      </c>
      <c r="P297" s="11">
        <f t="shared" si="67"/>
        <v>237.72059999999999</v>
      </c>
      <c r="Q297" s="11">
        <f t="shared" si="68"/>
        <v>237.72059999999999</v>
      </c>
      <c r="R297" s="11">
        <f t="shared" si="69"/>
        <v>237.72059999999999</v>
      </c>
      <c r="S297" s="11">
        <f t="shared" si="70"/>
        <v>237.72059999999999</v>
      </c>
      <c r="T297" s="11">
        <f t="shared" si="71"/>
        <v>197.11792152000001</v>
      </c>
      <c r="U297" s="11">
        <f t="shared" si="72"/>
        <v>161.07947856000001</v>
      </c>
      <c r="V297" s="13">
        <f t="shared" si="73"/>
        <v>237.72059999999999</v>
      </c>
      <c r="X297" s="30"/>
    </row>
    <row r="298" spans="1:24" x14ac:dyDescent="0.25">
      <c r="V298" s="13">
        <f>SUM(V3:V297)</f>
        <v>4113643.4226805004</v>
      </c>
    </row>
    <row r="299" spans="1:24" x14ac:dyDescent="0.25">
      <c r="H299" s="29"/>
      <c r="J299" s="22" t="s">
        <v>14</v>
      </c>
      <c r="K299" s="22" t="s">
        <v>15</v>
      </c>
      <c r="L299" s="22" t="s">
        <v>16</v>
      </c>
      <c r="M299" s="22" t="s">
        <v>17</v>
      </c>
      <c r="N299" s="22" t="s">
        <v>18</v>
      </c>
      <c r="O299" s="22" t="s">
        <v>19</v>
      </c>
      <c r="P299" s="22" t="s">
        <v>20</v>
      </c>
      <c r="Q299" s="22" t="s">
        <v>21</v>
      </c>
      <c r="R299" s="22" t="s">
        <v>22</v>
      </c>
      <c r="S299" s="22" t="s">
        <v>23</v>
      </c>
      <c r="T299" s="22" t="s">
        <v>24</v>
      </c>
      <c r="U299" s="23" t="s">
        <v>25</v>
      </c>
      <c r="X299" s="29"/>
    </row>
    <row r="300" spans="1:24" x14ac:dyDescent="0.25">
      <c r="F300" s="8" t="s">
        <v>7</v>
      </c>
      <c r="G300" s="8"/>
      <c r="H300" s="30"/>
      <c r="I300" s="11"/>
      <c r="J300" s="11">
        <f t="shared" ref="J300:U300" si="74">SUM(J3:J285)</f>
        <v>3622916.8072399991</v>
      </c>
      <c r="K300" s="11">
        <f t="shared" si="74"/>
        <v>3401980.4204239999</v>
      </c>
      <c r="L300" s="11">
        <f t="shared" si="74"/>
        <v>3145258.5625039996</v>
      </c>
      <c r="M300" s="11">
        <f t="shared" si="74"/>
        <v>2879590.3368079988</v>
      </c>
      <c r="N300" s="11">
        <f t="shared" si="74"/>
        <v>2569190.2722320003</v>
      </c>
      <c r="O300" s="11">
        <f t="shared" si="74"/>
        <v>2569190.2722320003</v>
      </c>
      <c r="P300" s="11">
        <f t="shared" si="74"/>
        <v>4101352.9970000004</v>
      </c>
      <c r="Q300" s="11">
        <f t="shared" si="74"/>
        <v>4101352.9970000004</v>
      </c>
      <c r="R300" s="11">
        <f t="shared" si="74"/>
        <v>4101352.9970000004</v>
      </c>
      <c r="S300" s="11">
        <f t="shared" si="74"/>
        <v>4101352.9970000004</v>
      </c>
      <c r="T300" s="11">
        <f t="shared" si="74"/>
        <v>3935261.7343759988</v>
      </c>
      <c r="U300" s="11">
        <f t="shared" si="74"/>
        <v>3787841.1523280041</v>
      </c>
      <c r="V300" s="13">
        <f>SUM(J300:U300)</f>
        <v>42316641.546144009</v>
      </c>
      <c r="X300" s="30"/>
    </row>
    <row r="301" spans="1:24" x14ac:dyDescent="0.25">
      <c r="F301" s="15" t="s">
        <v>48</v>
      </c>
      <c r="G301" s="15"/>
      <c r="H301" s="30"/>
      <c r="I301" s="11"/>
      <c r="J301" s="11">
        <f>SUM(J286:J297)</f>
        <v>7681.3788935000002</v>
      </c>
      <c r="K301" s="11">
        <f t="shared" ref="K301:U301" si="75">SUM(K286:K297)</f>
        <v>5837.6230331000006</v>
      </c>
      <c r="L301" s="11">
        <f t="shared" si="75"/>
        <v>3695.2306600999996</v>
      </c>
      <c r="M301" s="11">
        <f t="shared" si="75"/>
        <v>2190.1449676399998</v>
      </c>
      <c r="N301" s="11">
        <f t="shared" si="75"/>
        <v>486.14527556000019</v>
      </c>
      <c r="O301" s="11">
        <f t="shared" si="75"/>
        <v>486.14527556000019</v>
      </c>
      <c r="P301" s="11">
        <f t="shared" si="75"/>
        <v>12290.4256805</v>
      </c>
      <c r="Q301" s="11">
        <f t="shared" si="75"/>
        <v>12290.4256805</v>
      </c>
      <c r="R301" s="11">
        <f t="shared" si="75"/>
        <v>12290.4256805</v>
      </c>
      <c r="S301" s="11">
        <f t="shared" si="75"/>
        <v>12290.4256805</v>
      </c>
      <c r="T301" s="11">
        <f t="shared" si="75"/>
        <v>10587.139863430004</v>
      </c>
      <c r="U301" s="11">
        <f t="shared" si="75"/>
        <v>9077.8292475399994</v>
      </c>
      <c r="V301" s="13">
        <f t="shared" ref="V301" si="76">SUM(J301:U301)</f>
        <v>89203.339938429999</v>
      </c>
      <c r="X301" s="30"/>
    </row>
    <row r="302" spans="1:24" x14ac:dyDescent="0.25">
      <c r="H302" s="17"/>
      <c r="I302" s="17"/>
      <c r="J302" s="17">
        <f t="shared" ref="J302:U302" si="77">SUM(J300:J301)</f>
        <v>3630598.1861334993</v>
      </c>
      <c r="K302" s="17">
        <f t="shared" si="77"/>
        <v>3407818.0434570997</v>
      </c>
      <c r="L302" s="17">
        <f t="shared" si="77"/>
        <v>3148953.7931640996</v>
      </c>
      <c r="M302" s="17">
        <f t="shared" si="77"/>
        <v>2881780.4817756386</v>
      </c>
      <c r="N302" s="17">
        <f t="shared" si="77"/>
        <v>2569676.4175075605</v>
      </c>
      <c r="O302" s="17">
        <f t="shared" si="77"/>
        <v>2569676.4175075605</v>
      </c>
      <c r="P302" s="17">
        <f t="shared" si="77"/>
        <v>4113643.4226805004</v>
      </c>
      <c r="Q302" s="17">
        <f t="shared" si="77"/>
        <v>4113643.4226805004</v>
      </c>
      <c r="R302" s="17">
        <f t="shared" si="77"/>
        <v>4113643.4226805004</v>
      </c>
      <c r="S302" s="17">
        <f t="shared" si="77"/>
        <v>4113643.4226805004</v>
      </c>
      <c r="T302" s="17">
        <f t="shared" si="77"/>
        <v>3945848.8742394289</v>
      </c>
      <c r="U302" s="17">
        <f t="shared" si="77"/>
        <v>3796918.981575544</v>
      </c>
      <c r="V302" s="13">
        <f>SUM(J302:U302)</f>
        <v>42405844.886082433</v>
      </c>
      <c r="X302" s="17"/>
    </row>
    <row r="303" spans="1:24" x14ac:dyDescent="0.25">
      <c r="F303" s="8" t="s">
        <v>7</v>
      </c>
      <c r="G303" s="8"/>
      <c r="I303" s="8">
        <f>COUNT(F3:F285)</f>
        <v>283</v>
      </c>
      <c r="V303" s="13"/>
    </row>
    <row r="304" spans="1:24" x14ac:dyDescent="0.25">
      <c r="F304" s="15" t="s">
        <v>48</v>
      </c>
      <c r="G304" s="15"/>
      <c r="I304" s="8">
        <f>COUNT(F286:F297)</f>
        <v>12</v>
      </c>
      <c r="V304" s="13"/>
    </row>
    <row r="306" spans="8:24" x14ac:dyDescent="0.25">
      <c r="H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7"/>
      <c r="X306" s="29"/>
    </row>
    <row r="307" spans="8:24" x14ac:dyDescent="0.25"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spans="8:24" x14ac:dyDescent="0.25"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</sheetData>
  <mergeCells count="10">
    <mergeCell ref="A1:A2"/>
    <mergeCell ref="B1:B2"/>
    <mergeCell ref="C1:C2"/>
    <mergeCell ref="J1:U1"/>
    <mergeCell ref="G1:G2"/>
    <mergeCell ref="F1:F2"/>
    <mergeCell ref="D1:D2"/>
    <mergeCell ref="I1:I2"/>
    <mergeCell ref="E1:E2"/>
    <mergeCell ref="H1:H2"/>
  </mergeCells>
  <phoneticPr fontId="2" type="noConversion"/>
  <conditionalFormatting sqref="X3:X297 J3:U297 H3:H297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F143-273F-41A8-90C0-503DF720E223}">
  <dimension ref="A1:BG296"/>
  <sheetViews>
    <sheetView workbookViewId="0">
      <selection activeCell="AB11" sqref="AB11"/>
    </sheetView>
  </sheetViews>
  <sheetFormatPr defaultRowHeight="15" x14ac:dyDescent="0.25"/>
  <cols>
    <col min="1" max="1" width="4" bestFit="1" customWidth="1"/>
    <col min="2" max="2" width="9" bestFit="1" customWidth="1"/>
    <col min="3" max="3" width="9.85546875" bestFit="1" customWidth="1"/>
    <col min="4" max="4" width="14.5703125" bestFit="1" customWidth="1"/>
    <col min="5" max="5" width="27.28515625" bestFit="1" customWidth="1"/>
    <col min="6" max="6" width="9.140625" bestFit="1" customWidth="1"/>
    <col min="7" max="7" width="9" bestFit="1" customWidth="1"/>
    <col min="8" max="8" width="12.140625" bestFit="1" customWidth="1"/>
    <col min="9" max="9" width="35.140625" bestFit="1" customWidth="1"/>
    <col min="10" max="10" width="12.28515625" bestFit="1" customWidth="1"/>
    <col min="11" max="19" width="9.5703125" bestFit="1" customWidth="1"/>
    <col min="20" max="21" width="12" bestFit="1" customWidth="1"/>
    <col min="22" max="22" width="16.28515625" bestFit="1" customWidth="1"/>
    <col min="23" max="23" width="13.140625" bestFit="1" customWidth="1"/>
    <col min="24" max="24" width="16.28515625" bestFit="1" customWidth="1"/>
    <col min="25" max="35" width="12" bestFit="1" customWidth="1"/>
    <col min="36" max="36" width="14.7109375" bestFit="1" customWidth="1"/>
    <col min="37" max="47" width="12" bestFit="1" customWidth="1"/>
    <col min="48" max="48" width="15.42578125" bestFit="1" customWidth="1"/>
    <col min="49" max="49" width="15.85546875" bestFit="1" customWidth="1"/>
    <col min="50" max="50" width="16.140625" bestFit="1" customWidth="1"/>
    <col min="51" max="51" width="15.7109375" bestFit="1" customWidth="1"/>
    <col min="52" max="52" width="16.42578125" bestFit="1" customWidth="1"/>
    <col min="53" max="53" width="15.5703125" bestFit="1" customWidth="1"/>
    <col min="54" max="54" width="15" bestFit="1" customWidth="1"/>
    <col min="55" max="55" width="16" bestFit="1" customWidth="1"/>
    <col min="56" max="56" width="15.85546875" bestFit="1" customWidth="1"/>
    <col min="57" max="57" width="15.5703125" bestFit="1" customWidth="1"/>
    <col min="58" max="58" width="16.140625" bestFit="1" customWidth="1"/>
    <col min="59" max="59" width="15.85546875" bestFit="1" customWidth="1"/>
  </cols>
  <sheetData>
    <row r="1" spans="1:26" x14ac:dyDescent="0.25">
      <c r="A1" s="8" t="s">
        <v>49</v>
      </c>
      <c r="B1" s="8" t="s">
        <v>51</v>
      </c>
      <c r="C1" s="8" t="s">
        <v>50</v>
      </c>
      <c r="D1" s="8" t="s">
        <v>96</v>
      </c>
      <c r="E1" s="8" t="s">
        <v>92</v>
      </c>
      <c r="F1" s="8" t="s">
        <v>9</v>
      </c>
      <c r="G1" s="8" t="s">
        <v>4</v>
      </c>
      <c r="H1" s="8" t="s">
        <v>64</v>
      </c>
      <c r="I1" s="8" t="s">
        <v>40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6" x14ac:dyDescent="0.25">
      <c r="A2" s="8">
        <v>0</v>
      </c>
      <c r="B2" s="8">
        <v>20.037500000000001</v>
      </c>
      <c r="C2" s="8">
        <v>85.113699999999994</v>
      </c>
      <c r="D2" s="8" t="s">
        <v>7</v>
      </c>
      <c r="E2" s="8" t="s">
        <v>93</v>
      </c>
      <c r="F2" s="21">
        <v>2</v>
      </c>
      <c r="G2" s="8">
        <v>224.24</v>
      </c>
      <c r="H2" s="11" t="s">
        <v>56</v>
      </c>
      <c r="I2" s="11">
        <v>1.75</v>
      </c>
      <c r="J2" s="11">
        <v>309.67544000000004</v>
      </c>
      <c r="K2" s="11">
        <v>271.464944</v>
      </c>
      <c r="L2" s="11">
        <v>227.06542400000001</v>
      </c>
      <c r="M2" s="11">
        <v>181.11864800000001</v>
      </c>
      <c r="N2" s="11">
        <v>127.43559200000001</v>
      </c>
      <c r="O2" s="11">
        <v>127.43559200000001</v>
      </c>
      <c r="P2" s="11">
        <v>392.42</v>
      </c>
      <c r="Q2" s="11">
        <v>392.42</v>
      </c>
      <c r="R2" s="11">
        <v>392.42</v>
      </c>
      <c r="S2" s="11">
        <v>392.42</v>
      </c>
      <c r="T2" s="11">
        <v>363.69485600000002</v>
      </c>
      <c r="U2" s="11">
        <v>338.19876800000003</v>
      </c>
      <c r="W2" s="31" t="s">
        <v>101</v>
      </c>
      <c r="X2" s="31" t="s">
        <v>100</v>
      </c>
    </row>
    <row r="3" spans="1:26" x14ac:dyDescent="0.25">
      <c r="A3" s="8">
        <v>1</v>
      </c>
      <c r="B3" s="8">
        <v>20.0123</v>
      </c>
      <c r="C3" s="8">
        <v>85.082499999999996</v>
      </c>
      <c r="D3" s="8" t="s">
        <v>7</v>
      </c>
      <c r="E3" s="8" t="s">
        <v>93</v>
      </c>
      <c r="F3" s="21">
        <v>2</v>
      </c>
      <c r="G3" s="8">
        <v>240.41</v>
      </c>
      <c r="H3" s="11" t="s">
        <v>63</v>
      </c>
      <c r="I3" s="11">
        <v>1.75</v>
      </c>
      <c r="J3" s="11">
        <v>332.00621000000001</v>
      </c>
      <c r="K3" s="11">
        <v>291.040346</v>
      </c>
      <c r="L3" s="11">
        <v>243.43916599999997</v>
      </c>
      <c r="M3" s="11">
        <v>194.179157</v>
      </c>
      <c r="N3" s="11">
        <v>136.62500299999999</v>
      </c>
      <c r="O3" s="11">
        <v>136.62500299999999</v>
      </c>
      <c r="P3" s="11">
        <v>420.71749999999997</v>
      </c>
      <c r="Q3" s="11">
        <v>420.71749999999997</v>
      </c>
      <c r="R3" s="11">
        <v>420.71749999999997</v>
      </c>
      <c r="S3" s="11">
        <v>420.71749999999997</v>
      </c>
      <c r="T3" s="11">
        <v>389.92097900000005</v>
      </c>
      <c r="U3" s="11">
        <v>362.58636200000001</v>
      </c>
      <c r="W3" s="31" t="s">
        <v>98</v>
      </c>
      <c r="X3" t="s">
        <v>7</v>
      </c>
      <c r="Y3" t="s">
        <v>94</v>
      </c>
      <c r="Z3" t="s">
        <v>99</v>
      </c>
    </row>
    <row r="4" spans="1:26" x14ac:dyDescent="0.25">
      <c r="A4" s="8">
        <v>2</v>
      </c>
      <c r="B4" s="8">
        <v>20.0379</v>
      </c>
      <c r="C4" s="8">
        <v>85.113399999999999</v>
      </c>
      <c r="D4" s="8" t="s">
        <v>7</v>
      </c>
      <c r="E4" s="8" t="s">
        <v>93</v>
      </c>
      <c r="F4" s="21">
        <v>2</v>
      </c>
      <c r="G4" s="8">
        <v>402.31</v>
      </c>
      <c r="H4" s="11" t="s">
        <v>56</v>
      </c>
      <c r="I4" s="11">
        <v>1.75</v>
      </c>
      <c r="J4" s="11">
        <v>555.59010999999998</v>
      </c>
      <c r="K4" s="11">
        <v>487.03648599999997</v>
      </c>
      <c r="L4" s="11">
        <v>407.37910599999998</v>
      </c>
      <c r="M4" s="11">
        <v>324.945787</v>
      </c>
      <c r="N4" s="11">
        <v>228.63277300000001</v>
      </c>
      <c r="O4" s="11">
        <v>228.63277300000001</v>
      </c>
      <c r="P4" s="11">
        <v>704.04250000000002</v>
      </c>
      <c r="Q4" s="11">
        <v>704.04250000000002</v>
      </c>
      <c r="R4" s="11">
        <v>704.04250000000002</v>
      </c>
      <c r="S4" s="11">
        <v>704.04250000000002</v>
      </c>
      <c r="T4" s="11">
        <v>652.50658900000008</v>
      </c>
      <c r="U4" s="11">
        <v>606.76394200000004</v>
      </c>
      <c r="W4" s="32" t="s">
        <v>61</v>
      </c>
      <c r="X4" s="33">
        <v>27</v>
      </c>
      <c r="Y4" s="33"/>
      <c r="Z4" s="33">
        <v>27</v>
      </c>
    </row>
    <row r="5" spans="1:26" x14ac:dyDescent="0.25">
      <c r="A5" s="8">
        <v>3</v>
      </c>
      <c r="B5" s="8">
        <v>20.0108</v>
      </c>
      <c r="C5" s="8">
        <v>85.082499999999996</v>
      </c>
      <c r="D5" s="8" t="s">
        <v>7</v>
      </c>
      <c r="E5" s="8" t="s">
        <v>93</v>
      </c>
      <c r="F5" s="21">
        <v>3</v>
      </c>
      <c r="G5" s="8">
        <v>2124.0100000000002</v>
      </c>
      <c r="H5" s="11" t="s">
        <v>63</v>
      </c>
      <c r="I5" s="11">
        <v>2.75</v>
      </c>
      <c r="J5" s="11">
        <v>5057.2678100000012</v>
      </c>
      <c r="K5" s="11">
        <v>4695.3365060000006</v>
      </c>
      <c r="L5" s="11">
        <v>4274.782526</v>
      </c>
      <c r="M5" s="11">
        <v>3839.5728770000005</v>
      </c>
      <c r="N5" s="11">
        <v>3331.0848830000004</v>
      </c>
      <c r="O5" s="11">
        <v>3331.0848830000004</v>
      </c>
      <c r="P5" s="11">
        <v>5841.0275000000001</v>
      </c>
      <c r="Q5" s="11">
        <v>5841.0275000000001</v>
      </c>
      <c r="R5" s="11">
        <v>5841.0275000000001</v>
      </c>
      <c r="S5" s="11">
        <v>5841.0275000000001</v>
      </c>
      <c r="T5" s="11">
        <v>5568.9418190000006</v>
      </c>
      <c r="U5" s="11">
        <v>5327.4418820000001</v>
      </c>
      <c r="W5" s="32" t="s">
        <v>59</v>
      </c>
      <c r="X5" s="33">
        <v>24</v>
      </c>
      <c r="Y5" s="33">
        <v>1</v>
      </c>
      <c r="Z5" s="33">
        <v>25</v>
      </c>
    </row>
    <row r="6" spans="1:26" x14ac:dyDescent="0.25">
      <c r="A6" s="8">
        <v>4</v>
      </c>
      <c r="B6" s="8">
        <v>20.038499999999999</v>
      </c>
      <c r="C6" s="8">
        <v>85.113500000000002</v>
      </c>
      <c r="D6" s="8" t="s">
        <v>7</v>
      </c>
      <c r="E6" s="8" t="s">
        <v>93</v>
      </c>
      <c r="F6" s="21">
        <v>2</v>
      </c>
      <c r="G6" s="8">
        <v>245.48</v>
      </c>
      <c r="H6" s="11" t="s">
        <v>56</v>
      </c>
      <c r="I6" s="11">
        <v>1.75</v>
      </c>
      <c r="J6" s="11">
        <v>339.00788</v>
      </c>
      <c r="K6" s="11">
        <v>297.17808799999995</v>
      </c>
      <c r="L6" s="11">
        <v>248.57304799999997</v>
      </c>
      <c r="M6" s="11">
        <v>198.27419599999999</v>
      </c>
      <c r="N6" s="11">
        <v>139.50628399999999</v>
      </c>
      <c r="O6" s="11">
        <v>139.50628399999999</v>
      </c>
      <c r="P6" s="11">
        <v>429.59</v>
      </c>
      <c r="Q6" s="11">
        <v>429.59</v>
      </c>
      <c r="R6" s="11">
        <v>429.59</v>
      </c>
      <c r="S6" s="11">
        <v>429.59</v>
      </c>
      <c r="T6" s="11">
        <v>398.14401200000003</v>
      </c>
      <c r="U6" s="11">
        <v>370.232936</v>
      </c>
      <c r="W6" s="32" t="s">
        <v>54</v>
      </c>
      <c r="X6" s="33">
        <v>19</v>
      </c>
      <c r="Y6" s="33"/>
      <c r="Z6" s="33">
        <v>19</v>
      </c>
    </row>
    <row r="7" spans="1:26" x14ac:dyDescent="0.25">
      <c r="A7" s="8">
        <v>5</v>
      </c>
      <c r="B7" s="8">
        <v>20.039100000000001</v>
      </c>
      <c r="C7" s="8">
        <v>85.113500000000002</v>
      </c>
      <c r="D7" s="8" t="s">
        <v>7</v>
      </c>
      <c r="E7" s="8" t="s">
        <v>93</v>
      </c>
      <c r="F7" s="21">
        <v>2</v>
      </c>
      <c r="G7" s="8">
        <v>295.2</v>
      </c>
      <c r="H7" s="11" t="s">
        <v>56</v>
      </c>
      <c r="I7" s="11">
        <v>1.75</v>
      </c>
      <c r="J7" s="11">
        <v>407.6712</v>
      </c>
      <c r="K7" s="11">
        <v>357.36911999999995</v>
      </c>
      <c r="L7" s="11">
        <v>298.91951999999998</v>
      </c>
      <c r="M7" s="11">
        <v>238.43303999999998</v>
      </c>
      <c r="N7" s="11">
        <v>167.76215999999999</v>
      </c>
      <c r="O7" s="11">
        <v>167.76215999999999</v>
      </c>
      <c r="P7" s="11">
        <v>516.6</v>
      </c>
      <c r="Q7" s="11">
        <v>516.6</v>
      </c>
      <c r="R7" s="11">
        <v>516.6</v>
      </c>
      <c r="S7" s="11">
        <v>516.6</v>
      </c>
      <c r="T7" s="11">
        <v>478.78488000000004</v>
      </c>
      <c r="U7" s="11">
        <v>445.22064</v>
      </c>
      <c r="W7" s="32" t="s">
        <v>63</v>
      </c>
      <c r="X7" s="33">
        <v>18</v>
      </c>
      <c r="Y7" s="33">
        <v>1</v>
      </c>
      <c r="Z7" s="33">
        <v>19</v>
      </c>
    </row>
    <row r="8" spans="1:26" x14ac:dyDescent="0.25">
      <c r="A8" s="8">
        <v>6</v>
      </c>
      <c r="B8" s="8">
        <v>20.031500000000001</v>
      </c>
      <c r="C8" s="8">
        <v>85.100999999999999</v>
      </c>
      <c r="D8" s="8" t="s">
        <v>7</v>
      </c>
      <c r="E8" s="8" t="s">
        <v>93</v>
      </c>
      <c r="F8" s="21">
        <v>2</v>
      </c>
      <c r="G8" s="8">
        <v>101.13</v>
      </c>
      <c r="H8" s="11" t="s">
        <v>56</v>
      </c>
      <c r="I8" s="11">
        <v>1.75</v>
      </c>
      <c r="J8" s="11">
        <v>139.66052999999999</v>
      </c>
      <c r="K8" s="11">
        <v>122.42797799999998</v>
      </c>
      <c r="L8" s="11">
        <v>102.40423799999999</v>
      </c>
      <c r="M8" s="11">
        <v>81.682700999999994</v>
      </c>
      <c r="N8" s="11">
        <v>57.472178999999997</v>
      </c>
      <c r="O8" s="11">
        <v>57.472178999999997</v>
      </c>
      <c r="P8" s="11">
        <v>176.97749999999999</v>
      </c>
      <c r="Q8" s="11">
        <v>176.97749999999999</v>
      </c>
      <c r="R8" s="11">
        <v>176.97749999999999</v>
      </c>
      <c r="S8" s="11">
        <v>176.97749999999999</v>
      </c>
      <c r="T8" s="11">
        <v>164.02274700000001</v>
      </c>
      <c r="U8" s="11">
        <v>152.52426599999998</v>
      </c>
      <c r="W8" s="32" t="s">
        <v>57</v>
      </c>
      <c r="X8" s="33">
        <v>18</v>
      </c>
      <c r="Y8" s="33">
        <v>1</v>
      </c>
      <c r="Z8" s="33">
        <v>19</v>
      </c>
    </row>
    <row r="9" spans="1:26" x14ac:dyDescent="0.25">
      <c r="A9" s="8">
        <v>7</v>
      </c>
      <c r="B9" s="8">
        <v>20.0379</v>
      </c>
      <c r="C9" s="8">
        <v>84.966999999999999</v>
      </c>
      <c r="D9" s="8" t="s">
        <v>7</v>
      </c>
      <c r="E9" s="8" t="s">
        <v>93</v>
      </c>
      <c r="F9" s="21">
        <v>2</v>
      </c>
      <c r="G9" s="8">
        <v>325.86</v>
      </c>
      <c r="H9" s="11" t="s">
        <v>126</v>
      </c>
      <c r="I9" s="11">
        <v>1.75</v>
      </c>
      <c r="J9" s="11">
        <v>450.01266000000004</v>
      </c>
      <c r="K9" s="11">
        <v>394.48611599999998</v>
      </c>
      <c r="L9" s="11">
        <v>329.96583599999997</v>
      </c>
      <c r="M9" s="11">
        <v>263.19712199999998</v>
      </c>
      <c r="N9" s="11">
        <v>185.186238</v>
      </c>
      <c r="O9" s="11">
        <v>185.186238</v>
      </c>
      <c r="P9" s="11">
        <v>570.255</v>
      </c>
      <c r="Q9" s="11">
        <v>570.255</v>
      </c>
      <c r="R9" s="11">
        <v>570.255</v>
      </c>
      <c r="S9" s="11">
        <v>570.255</v>
      </c>
      <c r="T9" s="11">
        <v>528.51233400000001</v>
      </c>
      <c r="U9" s="11">
        <v>491.46205200000003</v>
      </c>
      <c r="W9" s="32" t="s">
        <v>53</v>
      </c>
      <c r="X9" s="33">
        <v>17</v>
      </c>
      <c r="Y9" s="33">
        <v>1</v>
      </c>
      <c r="Z9" s="33">
        <v>18</v>
      </c>
    </row>
    <row r="10" spans="1:26" x14ac:dyDescent="0.25">
      <c r="A10" s="8">
        <v>8</v>
      </c>
      <c r="B10" s="8">
        <v>20.0457</v>
      </c>
      <c r="C10" s="8">
        <v>85.031300000000002</v>
      </c>
      <c r="D10" s="8" t="s">
        <v>7</v>
      </c>
      <c r="E10" s="8" t="s">
        <v>93</v>
      </c>
      <c r="F10" s="21">
        <v>2</v>
      </c>
      <c r="G10" s="8">
        <v>830.15</v>
      </c>
      <c r="H10" s="11" t="s">
        <v>62</v>
      </c>
      <c r="I10" s="11">
        <v>1.75</v>
      </c>
      <c r="J10" s="11">
        <v>1146.43715</v>
      </c>
      <c r="K10" s="11">
        <v>1004.9795899999999</v>
      </c>
      <c r="L10" s="11">
        <v>840.60988999999995</v>
      </c>
      <c r="M10" s="11">
        <v>670.51215500000001</v>
      </c>
      <c r="N10" s="11">
        <v>471.77424500000001</v>
      </c>
      <c r="O10" s="11">
        <v>471.77424500000001</v>
      </c>
      <c r="P10" s="11">
        <v>1452.7625</v>
      </c>
      <c r="Q10" s="11">
        <v>1452.7625</v>
      </c>
      <c r="R10" s="11">
        <v>1452.7625</v>
      </c>
      <c r="S10" s="11">
        <v>1452.7625</v>
      </c>
      <c r="T10" s="11">
        <v>1346.4202850000001</v>
      </c>
      <c r="U10" s="11">
        <v>1252.03223</v>
      </c>
      <c r="W10" s="32" t="s">
        <v>126</v>
      </c>
      <c r="X10" s="33">
        <v>24</v>
      </c>
      <c r="Y10" s="33"/>
      <c r="Z10" s="33">
        <v>24</v>
      </c>
    </row>
    <row r="11" spans="1:26" x14ac:dyDescent="0.25">
      <c r="A11" s="8">
        <v>9</v>
      </c>
      <c r="B11" s="8">
        <v>20.0091</v>
      </c>
      <c r="C11" s="8">
        <v>85.007599999999996</v>
      </c>
      <c r="D11" s="8" t="s">
        <v>7</v>
      </c>
      <c r="E11" s="8" t="s">
        <v>93</v>
      </c>
      <c r="F11" s="21">
        <v>3</v>
      </c>
      <c r="G11" s="8">
        <v>857.31</v>
      </c>
      <c r="H11" s="11" t="s">
        <v>60</v>
      </c>
      <c r="I11" s="11">
        <v>2.75</v>
      </c>
      <c r="J11" s="11">
        <v>2041.2551100000001</v>
      </c>
      <c r="K11" s="11">
        <v>1895.1694859999998</v>
      </c>
      <c r="L11" s="11">
        <v>1725.4221059999998</v>
      </c>
      <c r="M11" s="11">
        <v>1549.7592870000001</v>
      </c>
      <c r="N11" s="11">
        <v>1344.5192729999999</v>
      </c>
      <c r="O11" s="11">
        <v>1344.5192729999999</v>
      </c>
      <c r="P11" s="11">
        <v>2357.6025</v>
      </c>
      <c r="Q11" s="11">
        <v>2357.6025</v>
      </c>
      <c r="R11" s="11">
        <v>2357.6025</v>
      </c>
      <c r="S11" s="11">
        <v>2357.6025</v>
      </c>
      <c r="T11" s="11">
        <v>2247.7810890000001</v>
      </c>
      <c r="U11" s="11">
        <v>2150.3049419999998</v>
      </c>
      <c r="W11" s="32" t="s">
        <v>58</v>
      </c>
      <c r="X11" s="33">
        <v>32</v>
      </c>
      <c r="Y11" s="33"/>
      <c r="Z11" s="33">
        <v>32</v>
      </c>
    </row>
    <row r="12" spans="1:26" x14ac:dyDescent="0.25">
      <c r="A12" s="8">
        <v>10</v>
      </c>
      <c r="B12" s="8">
        <v>20.034099999999999</v>
      </c>
      <c r="C12" s="8">
        <v>84.966700000000003</v>
      </c>
      <c r="D12" s="8" t="s">
        <v>7</v>
      </c>
      <c r="E12" s="8" t="s">
        <v>93</v>
      </c>
      <c r="F12" s="21">
        <v>3</v>
      </c>
      <c r="G12" s="8">
        <v>4729.47</v>
      </c>
      <c r="H12" s="11" t="s">
        <v>126</v>
      </c>
      <c r="I12" s="11">
        <v>2.75</v>
      </c>
      <c r="J12" s="11">
        <v>11260.868070000002</v>
      </c>
      <c r="K12" s="11">
        <v>10454.966382000001</v>
      </c>
      <c r="L12" s="11">
        <v>9518.5313220000007</v>
      </c>
      <c r="M12" s="11">
        <v>8549.4629190000014</v>
      </c>
      <c r="N12" s="11">
        <v>7417.2278010000009</v>
      </c>
      <c r="O12" s="11">
        <v>7417.2278010000009</v>
      </c>
      <c r="P12" s="11">
        <v>13006.042500000001</v>
      </c>
      <c r="Q12" s="11">
        <v>13006.042500000001</v>
      </c>
      <c r="R12" s="11">
        <v>13006.042500000001</v>
      </c>
      <c r="S12" s="11">
        <v>13006.042500000001</v>
      </c>
      <c r="T12" s="11">
        <v>12400.197393</v>
      </c>
      <c r="U12" s="11">
        <v>11862.456654000001</v>
      </c>
      <c r="W12" s="32" t="s">
        <v>55</v>
      </c>
      <c r="X12" s="33">
        <v>8</v>
      </c>
      <c r="Y12" s="33">
        <v>5</v>
      </c>
      <c r="Z12" s="33">
        <v>13</v>
      </c>
    </row>
    <row r="13" spans="1:26" x14ac:dyDescent="0.25">
      <c r="A13" s="8">
        <v>11</v>
      </c>
      <c r="B13" s="8">
        <v>20.0168</v>
      </c>
      <c r="C13" s="8">
        <v>84.989800000000002</v>
      </c>
      <c r="D13" s="8" t="s">
        <v>7</v>
      </c>
      <c r="E13" s="8" t="s">
        <v>93</v>
      </c>
      <c r="F13" s="21">
        <v>3</v>
      </c>
      <c r="G13" s="8">
        <v>2642.2</v>
      </c>
      <c r="H13" s="11" t="s">
        <v>57</v>
      </c>
      <c r="I13" s="11">
        <v>2.75</v>
      </c>
      <c r="J13" s="11">
        <v>6291.0781999999999</v>
      </c>
      <c r="K13" s="11">
        <v>5840.8473199999989</v>
      </c>
      <c r="L13" s="11">
        <v>5317.6917199999998</v>
      </c>
      <c r="M13" s="11">
        <v>4776.30494</v>
      </c>
      <c r="N13" s="11">
        <v>4143.7622599999995</v>
      </c>
      <c r="O13" s="11">
        <v>4143.7622599999995</v>
      </c>
      <c r="P13" s="11">
        <v>7266.0499999999993</v>
      </c>
      <c r="Q13" s="11">
        <v>7266.0499999999993</v>
      </c>
      <c r="R13" s="11">
        <v>7266.0499999999993</v>
      </c>
      <c r="S13" s="11">
        <v>7266.0499999999993</v>
      </c>
      <c r="T13" s="11">
        <v>6927.5841799999998</v>
      </c>
      <c r="U13" s="11">
        <v>6627.1660399999992</v>
      </c>
      <c r="W13" s="32" t="s">
        <v>60</v>
      </c>
      <c r="X13" s="33">
        <v>31</v>
      </c>
      <c r="Y13" s="33">
        <v>2</v>
      </c>
      <c r="Z13" s="33">
        <v>33</v>
      </c>
    </row>
    <row r="14" spans="1:26" x14ac:dyDescent="0.25">
      <c r="A14" s="8">
        <v>12</v>
      </c>
      <c r="B14" s="8">
        <v>20.018899999999999</v>
      </c>
      <c r="C14" s="8">
        <v>84.9893</v>
      </c>
      <c r="D14" s="8" t="s">
        <v>7</v>
      </c>
      <c r="E14" s="8" t="s">
        <v>93</v>
      </c>
      <c r="F14" s="21">
        <v>2</v>
      </c>
      <c r="G14" s="8">
        <v>465.72</v>
      </c>
      <c r="H14" s="11" t="s">
        <v>57</v>
      </c>
      <c r="I14" s="11">
        <v>1.75</v>
      </c>
      <c r="J14" s="11">
        <v>643.15932000000009</v>
      </c>
      <c r="K14" s="11">
        <v>563.80063199999995</v>
      </c>
      <c r="L14" s="11">
        <v>471.58807200000001</v>
      </c>
      <c r="M14" s="11">
        <v>376.16204400000004</v>
      </c>
      <c r="N14" s="11">
        <v>264.668676</v>
      </c>
      <c r="O14" s="11">
        <v>264.668676</v>
      </c>
      <c r="P14" s="11">
        <v>815.01</v>
      </c>
      <c r="Q14" s="11">
        <v>815.01</v>
      </c>
      <c r="R14" s="11">
        <v>815.01</v>
      </c>
      <c r="S14" s="11">
        <v>815.01</v>
      </c>
      <c r="T14" s="11">
        <v>755.35126800000012</v>
      </c>
      <c r="U14" s="11">
        <v>702.39890400000002</v>
      </c>
      <c r="W14" s="32" t="s">
        <v>62</v>
      </c>
      <c r="X14" s="33">
        <v>36</v>
      </c>
      <c r="Y14" s="33">
        <v>1</v>
      </c>
      <c r="Z14" s="33">
        <v>37</v>
      </c>
    </row>
    <row r="15" spans="1:26" x14ac:dyDescent="0.25">
      <c r="A15" s="8">
        <v>13</v>
      </c>
      <c r="B15" s="8">
        <v>20.0229</v>
      </c>
      <c r="C15" s="8">
        <v>84.9846</v>
      </c>
      <c r="D15" s="8" t="s">
        <v>7</v>
      </c>
      <c r="E15" s="8" t="s">
        <v>93</v>
      </c>
      <c r="F15" s="21">
        <v>4</v>
      </c>
      <c r="G15" s="8">
        <v>14807.55</v>
      </c>
      <c r="H15" s="11" t="s">
        <v>57</v>
      </c>
      <c r="I15" s="11">
        <v>3.75</v>
      </c>
      <c r="J15" s="11">
        <v>50064.326549999998</v>
      </c>
      <c r="K15" s="11">
        <v>47541.120029999998</v>
      </c>
      <c r="L15" s="11">
        <v>44609.225129999999</v>
      </c>
      <c r="M15" s="11">
        <v>41575.158134999998</v>
      </c>
      <c r="N15" s="11">
        <v>38030.230664999995</v>
      </c>
      <c r="O15" s="11">
        <v>38030.230664999995</v>
      </c>
      <c r="P15" s="11">
        <v>55528.3125</v>
      </c>
      <c r="Q15" s="11">
        <v>55528.3125</v>
      </c>
      <c r="R15" s="11">
        <v>55528.3125</v>
      </c>
      <c r="S15" s="11">
        <v>55528.3125</v>
      </c>
      <c r="T15" s="11">
        <v>53631.465344999997</v>
      </c>
      <c r="U15" s="11">
        <v>51947.84691</v>
      </c>
      <c r="W15" s="32" t="s">
        <v>56</v>
      </c>
      <c r="X15" s="33">
        <v>29</v>
      </c>
      <c r="Y15" s="33"/>
      <c r="Z15" s="33">
        <v>29</v>
      </c>
    </row>
    <row r="16" spans="1:26" x14ac:dyDescent="0.25">
      <c r="A16" s="8">
        <v>14</v>
      </c>
      <c r="B16" s="8">
        <v>20.0242</v>
      </c>
      <c r="C16" s="8">
        <v>84.9833</v>
      </c>
      <c r="D16" s="8" t="s">
        <v>7</v>
      </c>
      <c r="E16" s="8" t="s">
        <v>93</v>
      </c>
      <c r="F16" s="21">
        <v>3.5</v>
      </c>
      <c r="G16" s="8">
        <v>8632.09</v>
      </c>
      <c r="H16" s="11" t="s">
        <v>57</v>
      </c>
      <c r="I16" s="11">
        <v>3.25</v>
      </c>
      <c r="J16" s="11">
        <v>24869.051290000003</v>
      </c>
      <c r="K16" s="11">
        <v>23398.143154000001</v>
      </c>
      <c r="L16" s="11">
        <v>21688.989334000002</v>
      </c>
      <c r="M16" s="11">
        <v>19920.274093</v>
      </c>
      <c r="N16" s="11">
        <v>17853.751746999998</v>
      </c>
      <c r="O16" s="11">
        <v>17853.751746999998</v>
      </c>
      <c r="P16" s="11">
        <v>28054.2925</v>
      </c>
      <c r="Q16" s="11">
        <v>28054.2925</v>
      </c>
      <c r="R16" s="11">
        <v>28054.2925</v>
      </c>
      <c r="S16" s="11">
        <v>28054.2925</v>
      </c>
      <c r="T16" s="11">
        <v>26948.521771</v>
      </c>
      <c r="U16" s="11">
        <v>25967.053137999999</v>
      </c>
      <c r="W16" s="32" t="s">
        <v>99</v>
      </c>
      <c r="X16" s="33">
        <v>283</v>
      </c>
      <c r="Y16" s="33">
        <v>12</v>
      </c>
      <c r="Z16" s="33">
        <v>295</v>
      </c>
    </row>
    <row r="17" spans="1:59" x14ac:dyDescent="0.25">
      <c r="A17" s="8">
        <v>15</v>
      </c>
      <c r="B17" s="8">
        <v>20.023700000000002</v>
      </c>
      <c r="C17" s="8">
        <v>84.986900000000006</v>
      </c>
      <c r="D17" s="8" t="s">
        <v>7</v>
      </c>
      <c r="E17" s="8" t="s">
        <v>93</v>
      </c>
      <c r="F17" s="21">
        <v>2</v>
      </c>
      <c r="G17" s="8">
        <v>425.84</v>
      </c>
      <c r="H17" s="11" t="s">
        <v>57</v>
      </c>
      <c r="I17" s="11">
        <v>1.75</v>
      </c>
      <c r="J17" s="11">
        <v>588.08503999999994</v>
      </c>
      <c r="K17" s="11">
        <v>515.52190399999995</v>
      </c>
      <c r="L17" s="11">
        <v>431.20558399999993</v>
      </c>
      <c r="M17" s="11">
        <v>343.95096799999999</v>
      </c>
      <c r="N17" s="11">
        <v>242.00487200000001</v>
      </c>
      <c r="O17" s="11">
        <v>242.00487200000001</v>
      </c>
      <c r="P17" s="11">
        <v>745.21999999999991</v>
      </c>
      <c r="Q17" s="11">
        <v>745.21999999999991</v>
      </c>
      <c r="R17" s="11">
        <v>745.21999999999991</v>
      </c>
      <c r="S17" s="11">
        <v>745.21999999999991</v>
      </c>
      <c r="T17" s="11">
        <v>690.66989599999999</v>
      </c>
      <c r="U17" s="11">
        <v>642.25188800000001</v>
      </c>
    </row>
    <row r="18" spans="1:59" x14ac:dyDescent="0.25">
      <c r="A18" s="8">
        <v>16</v>
      </c>
      <c r="B18" s="8">
        <v>20.025300000000001</v>
      </c>
      <c r="C18" s="8">
        <v>84.986800000000002</v>
      </c>
      <c r="D18" s="8" t="s">
        <v>7</v>
      </c>
      <c r="E18" s="8" t="s">
        <v>93</v>
      </c>
      <c r="F18" s="21">
        <v>2</v>
      </c>
      <c r="G18" s="8">
        <v>3644.58</v>
      </c>
      <c r="H18" s="11" t="s">
        <v>57</v>
      </c>
      <c r="I18" s="11">
        <v>1.75</v>
      </c>
      <c r="J18" s="11">
        <v>5033.1649799999996</v>
      </c>
      <c r="K18" s="11">
        <v>4412.1285479999997</v>
      </c>
      <c r="L18" s="11">
        <v>3690.5017079999998</v>
      </c>
      <c r="M18" s="11">
        <v>2943.7272659999999</v>
      </c>
      <c r="N18" s="11">
        <v>2071.2148139999999</v>
      </c>
      <c r="O18" s="11">
        <v>2071.2148139999999</v>
      </c>
      <c r="P18" s="11">
        <v>6378.0149999999994</v>
      </c>
      <c r="Q18" s="11">
        <v>6378.0149999999994</v>
      </c>
      <c r="R18" s="11">
        <v>6378.0149999999994</v>
      </c>
      <c r="S18" s="11">
        <v>6378.0149999999994</v>
      </c>
      <c r="T18" s="11">
        <v>5911.1443020000006</v>
      </c>
      <c r="U18" s="11">
        <v>5496.7555560000001</v>
      </c>
    </row>
    <row r="19" spans="1:59" x14ac:dyDescent="0.25">
      <c r="A19" s="8">
        <v>17</v>
      </c>
      <c r="B19" s="8">
        <v>20.0337</v>
      </c>
      <c r="C19" s="8">
        <v>84.967600000000004</v>
      </c>
      <c r="D19" s="8" t="s">
        <v>7</v>
      </c>
      <c r="E19" s="8" t="s">
        <v>93</v>
      </c>
      <c r="F19" s="21">
        <v>3</v>
      </c>
      <c r="G19" s="8">
        <v>342.3</v>
      </c>
      <c r="H19" s="11" t="s">
        <v>126</v>
      </c>
      <c r="I19" s="11">
        <v>2.75</v>
      </c>
      <c r="J19" s="11">
        <v>815.01630000000011</v>
      </c>
      <c r="K19" s="11">
        <v>756.68837999999994</v>
      </c>
      <c r="L19" s="11">
        <v>688.91297999999995</v>
      </c>
      <c r="M19" s="11">
        <v>618.77571</v>
      </c>
      <c r="N19" s="11">
        <v>536.82909000000006</v>
      </c>
      <c r="O19" s="11">
        <v>536.82909000000006</v>
      </c>
      <c r="P19" s="11">
        <v>941.32500000000005</v>
      </c>
      <c r="Q19" s="11">
        <v>941.32500000000005</v>
      </c>
      <c r="R19" s="11">
        <v>941.32500000000005</v>
      </c>
      <c r="S19" s="11">
        <v>941.32500000000005</v>
      </c>
      <c r="T19" s="11">
        <v>897.47637000000009</v>
      </c>
      <c r="U19" s="11">
        <v>858.55686000000003</v>
      </c>
      <c r="X19" s="31" t="s">
        <v>100</v>
      </c>
    </row>
    <row r="20" spans="1:59" x14ac:dyDescent="0.25">
      <c r="A20" s="8">
        <v>18</v>
      </c>
      <c r="B20" s="8">
        <v>20.032800000000002</v>
      </c>
      <c r="C20" s="8">
        <v>84.964299999999994</v>
      </c>
      <c r="D20" s="8" t="s">
        <v>7</v>
      </c>
      <c r="E20" s="8" t="s">
        <v>93</v>
      </c>
      <c r="F20" s="21">
        <v>4</v>
      </c>
      <c r="G20" s="8">
        <v>7292.52</v>
      </c>
      <c r="H20" s="11" t="s">
        <v>126</v>
      </c>
      <c r="I20" s="11">
        <v>3.75</v>
      </c>
      <c r="J20" s="11">
        <v>24656.010120000003</v>
      </c>
      <c r="K20" s="11">
        <v>23413.364712000002</v>
      </c>
      <c r="L20" s="11">
        <v>21969.445752</v>
      </c>
      <c r="M20" s="11">
        <v>20475.208404000001</v>
      </c>
      <c r="N20" s="11">
        <v>18729.379116</v>
      </c>
      <c r="O20" s="11">
        <v>18729.379116</v>
      </c>
      <c r="P20" s="11">
        <v>27346.95</v>
      </c>
      <c r="Q20" s="11">
        <v>27346.95</v>
      </c>
      <c r="R20" s="11">
        <v>27346.95</v>
      </c>
      <c r="S20" s="11">
        <v>27346.95</v>
      </c>
      <c r="T20" s="11">
        <v>26412.778188000004</v>
      </c>
      <c r="U20" s="11">
        <v>25583.618664000001</v>
      </c>
      <c r="X20" t="s">
        <v>7</v>
      </c>
      <c r="AJ20" t="s">
        <v>94</v>
      </c>
      <c r="AV20" t="s">
        <v>114</v>
      </c>
      <c r="AW20" t="s">
        <v>115</v>
      </c>
      <c r="AX20" t="s">
        <v>116</v>
      </c>
      <c r="AY20" t="s">
        <v>117</v>
      </c>
      <c r="AZ20" t="s">
        <v>118</v>
      </c>
      <c r="BA20" t="s">
        <v>119</v>
      </c>
      <c r="BB20" t="s">
        <v>120</v>
      </c>
      <c r="BC20" t="s">
        <v>121</v>
      </c>
      <c r="BD20" t="s">
        <v>122</v>
      </c>
      <c r="BE20" t="s">
        <v>123</v>
      </c>
      <c r="BF20" t="s">
        <v>124</v>
      </c>
      <c r="BG20" t="s">
        <v>125</v>
      </c>
    </row>
    <row r="21" spans="1:59" x14ac:dyDescent="0.25">
      <c r="A21" s="8">
        <v>19</v>
      </c>
      <c r="B21" s="8">
        <v>20.0304</v>
      </c>
      <c r="C21" s="8">
        <v>84.968699999999998</v>
      </c>
      <c r="D21" s="8" t="s">
        <v>7</v>
      </c>
      <c r="E21" s="8" t="s">
        <v>93</v>
      </c>
      <c r="F21" s="21">
        <v>3.5</v>
      </c>
      <c r="G21" s="8">
        <v>7901.06</v>
      </c>
      <c r="H21" s="11" t="s">
        <v>126</v>
      </c>
      <c r="I21" s="11">
        <v>3.25</v>
      </c>
      <c r="J21" s="11">
        <v>22762.953860000001</v>
      </c>
      <c r="K21" s="11">
        <v>21416.613236000001</v>
      </c>
      <c r="L21" s="11">
        <v>19852.203356000002</v>
      </c>
      <c r="M21" s="11">
        <v>18233.276162000002</v>
      </c>
      <c r="N21" s="11">
        <v>16341.762397999999</v>
      </c>
      <c r="O21" s="11">
        <v>16341.762397999999</v>
      </c>
      <c r="P21" s="11">
        <v>25678.445</v>
      </c>
      <c r="Q21" s="11">
        <v>25678.445</v>
      </c>
      <c r="R21" s="11">
        <v>25678.445</v>
      </c>
      <c r="S21" s="11">
        <v>25678.445</v>
      </c>
      <c r="T21" s="11">
        <v>24666.319214000003</v>
      </c>
      <c r="U21" s="11">
        <v>23767.968692000002</v>
      </c>
      <c r="W21" s="31" t="s">
        <v>98</v>
      </c>
      <c r="X21" t="s">
        <v>102</v>
      </c>
      <c r="Y21" t="s">
        <v>103</v>
      </c>
      <c r="Z21" t="s">
        <v>104</v>
      </c>
      <c r="AA21" t="s">
        <v>105</v>
      </c>
      <c r="AB21" t="s">
        <v>106</v>
      </c>
      <c r="AC21" t="s">
        <v>107</v>
      </c>
      <c r="AD21" t="s">
        <v>108</v>
      </c>
      <c r="AE21" t="s">
        <v>109</v>
      </c>
      <c r="AF21" t="s">
        <v>110</v>
      </c>
      <c r="AG21" t="s">
        <v>111</v>
      </c>
      <c r="AH21" t="s">
        <v>112</v>
      </c>
      <c r="AI21" t="s">
        <v>113</v>
      </c>
      <c r="AJ21" t="s">
        <v>102</v>
      </c>
      <c r="AK21" t="s">
        <v>103</v>
      </c>
      <c r="AL21" t="s">
        <v>104</v>
      </c>
      <c r="AM21" t="s">
        <v>105</v>
      </c>
      <c r="AN21" t="s">
        <v>106</v>
      </c>
      <c r="AO21" t="s">
        <v>107</v>
      </c>
      <c r="AP21" t="s">
        <v>108</v>
      </c>
      <c r="AQ21" t="s">
        <v>109</v>
      </c>
      <c r="AR21" t="s">
        <v>110</v>
      </c>
      <c r="AS21" t="s">
        <v>111</v>
      </c>
      <c r="AT21" t="s">
        <v>112</v>
      </c>
      <c r="AU21" t="s">
        <v>113</v>
      </c>
    </row>
    <row r="22" spans="1:59" x14ac:dyDescent="0.25">
      <c r="A22" s="8">
        <v>20</v>
      </c>
      <c r="B22" s="8">
        <v>20.029900000000001</v>
      </c>
      <c r="C22" s="8">
        <v>84.963999999999999</v>
      </c>
      <c r="D22" s="8" t="s">
        <v>7</v>
      </c>
      <c r="E22" s="8" t="s">
        <v>93</v>
      </c>
      <c r="F22" s="21">
        <v>3</v>
      </c>
      <c r="G22" s="8">
        <v>2098.08</v>
      </c>
      <c r="H22" s="11" t="s">
        <v>126</v>
      </c>
      <c r="I22" s="11">
        <v>2.75</v>
      </c>
      <c r="J22" s="11">
        <v>4995.5284799999999</v>
      </c>
      <c r="K22" s="11">
        <v>4638.0156479999996</v>
      </c>
      <c r="L22" s="11">
        <v>4222.595808</v>
      </c>
      <c r="M22" s="11">
        <v>3792.699216</v>
      </c>
      <c r="N22" s="11">
        <v>3290.4188639999998</v>
      </c>
      <c r="O22" s="11">
        <v>3290.4188639999998</v>
      </c>
      <c r="P22" s="11">
        <v>5769.7199999999993</v>
      </c>
      <c r="Q22" s="11">
        <v>5769.7199999999993</v>
      </c>
      <c r="R22" s="11">
        <v>5769.7199999999993</v>
      </c>
      <c r="S22" s="11">
        <v>5769.7199999999993</v>
      </c>
      <c r="T22" s="11">
        <v>5500.9559520000003</v>
      </c>
      <c r="U22" s="11">
        <v>5262.4042559999998</v>
      </c>
      <c r="W22" s="32" t="s">
        <v>61</v>
      </c>
      <c r="X22" s="13">
        <v>256369.69255000009</v>
      </c>
      <c r="Y22" s="13">
        <v>239233.66363000005</v>
      </c>
      <c r="Z22" s="13">
        <v>219322.08073000002</v>
      </c>
      <c r="AA22" s="13">
        <v>198716.60933499999</v>
      </c>
      <c r="AB22" s="13">
        <v>174641.695465</v>
      </c>
      <c r="AC22" s="13">
        <v>174641.695465</v>
      </c>
      <c r="AD22" s="13">
        <v>293477.64250000002</v>
      </c>
      <c r="AE22" s="13">
        <v>293477.64250000002</v>
      </c>
      <c r="AF22" s="13">
        <v>293477.64250000002</v>
      </c>
      <c r="AG22" s="13">
        <v>293477.64250000002</v>
      </c>
      <c r="AH22" s="13">
        <v>280595.45174500003</v>
      </c>
      <c r="AI22" s="13">
        <v>269161.37611000001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>
        <v>256369.69255000009</v>
      </c>
      <c r="AW22" s="13">
        <v>239233.66363000005</v>
      </c>
      <c r="AX22" s="13">
        <v>219322.08073000002</v>
      </c>
      <c r="AY22" s="13">
        <v>198716.60933499999</v>
      </c>
      <c r="AZ22" s="13">
        <v>174641.695465</v>
      </c>
      <c r="BA22" s="13">
        <v>174641.695465</v>
      </c>
      <c r="BB22" s="13">
        <v>293477.64250000002</v>
      </c>
      <c r="BC22" s="13">
        <v>293477.64250000002</v>
      </c>
      <c r="BD22" s="13">
        <v>293477.64250000002</v>
      </c>
      <c r="BE22" s="13">
        <v>293477.64250000002</v>
      </c>
      <c r="BF22" s="13">
        <v>280595.45174500003</v>
      </c>
      <c r="BG22" s="13">
        <v>269161.37611000001</v>
      </c>
    </row>
    <row r="23" spans="1:59" x14ac:dyDescent="0.25">
      <c r="A23" s="8">
        <v>21</v>
      </c>
      <c r="B23" s="8">
        <v>20.023499999999999</v>
      </c>
      <c r="C23" s="8">
        <v>84.963399999999993</v>
      </c>
      <c r="D23" s="8" t="s">
        <v>7</v>
      </c>
      <c r="E23" s="8" t="s">
        <v>93</v>
      </c>
      <c r="F23" s="21">
        <v>4</v>
      </c>
      <c r="G23" s="8">
        <v>1914.1</v>
      </c>
      <c r="H23" s="11" t="s">
        <v>126</v>
      </c>
      <c r="I23" s="11">
        <v>3.75</v>
      </c>
      <c r="J23" s="11">
        <v>6471.5721000000003</v>
      </c>
      <c r="K23" s="11">
        <v>6145.4094599999999</v>
      </c>
      <c r="L23" s="11">
        <v>5766.4176600000001</v>
      </c>
      <c r="M23" s="11">
        <v>5374.21857</v>
      </c>
      <c r="N23" s="11">
        <v>4915.9830299999994</v>
      </c>
      <c r="O23" s="11">
        <v>4915.9830299999994</v>
      </c>
      <c r="P23" s="11">
        <v>7177.875</v>
      </c>
      <c r="Q23" s="11">
        <v>7177.875</v>
      </c>
      <c r="R23" s="11">
        <v>7177.875</v>
      </c>
      <c r="S23" s="11">
        <v>7177.875</v>
      </c>
      <c r="T23" s="11">
        <v>6932.6787899999999</v>
      </c>
      <c r="U23" s="11">
        <v>6715.0456199999999</v>
      </c>
      <c r="W23" s="32" t="s">
        <v>59</v>
      </c>
      <c r="X23" s="13">
        <v>276576.44523000007</v>
      </c>
      <c r="Y23" s="13">
        <v>259588.44619799993</v>
      </c>
      <c r="Z23" s="13">
        <v>239848.86985799999</v>
      </c>
      <c r="AA23" s="13">
        <v>219421.39919100006</v>
      </c>
      <c r="AB23" s="13">
        <v>195554.45688900005</v>
      </c>
      <c r="AC23" s="13">
        <v>195554.45688900005</v>
      </c>
      <c r="AD23" s="13">
        <v>313363.83750000002</v>
      </c>
      <c r="AE23" s="13">
        <v>313363.83750000002</v>
      </c>
      <c r="AF23" s="13">
        <v>313363.83750000002</v>
      </c>
      <c r="AG23" s="13">
        <v>313363.83750000002</v>
      </c>
      <c r="AH23" s="13">
        <v>300592.92977700004</v>
      </c>
      <c r="AI23" s="13">
        <v>289257.62760599999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2.8224054999999995</v>
      </c>
      <c r="AQ23" s="13">
        <v>2.8224054999999995</v>
      </c>
      <c r="AR23" s="13">
        <v>2.8224054999999995</v>
      </c>
      <c r="AS23" s="13">
        <v>2.8224054999999995</v>
      </c>
      <c r="AT23" s="13">
        <v>0</v>
      </c>
      <c r="AU23" s="13">
        <v>0</v>
      </c>
      <c r="AV23" s="13">
        <v>276576.44523000007</v>
      </c>
      <c r="AW23" s="13">
        <v>259588.44619799993</v>
      </c>
      <c r="AX23" s="13">
        <v>239848.86985799999</v>
      </c>
      <c r="AY23" s="13">
        <v>219421.39919100006</v>
      </c>
      <c r="AZ23" s="13">
        <v>195554.45688900005</v>
      </c>
      <c r="BA23" s="13">
        <v>195554.45688900005</v>
      </c>
      <c r="BB23" s="13">
        <v>313366.65990550001</v>
      </c>
      <c r="BC23" s="13">
        <v>313366.65990550001</v>
      </c>
      <c r="BD23" s="13">
        <v>313366.65990550001</v>
      </c>
      <c r="BE23" s="13">
        <v>313366.65990550001</v>
      </c>
      <c r="BF23" s="13">
        <v>300592.92977700004</v>
      </c>
      <c r="BG23" s="13">
        <v>289257.62760599999</v>
      </c>
    </row>
    <row r="24" spans="1:59" x14ac:dyDescent="0.25">
      <c r="A24" s="8">
        <v>22</v>
      </c>
      <c r="B24" s="8">
        <v>20.023599999999998</v>
      </c>
      <c r="C24" s="8">
        <v>84.966700000000003</v>
      </c>
      <c r="D24" s="8" t="s">
        <v>7</v>
      </c>
      <c r="E24" s="8" t="s">
        <v>93</v>
      </c>
      <c r="F24" s="21">
        <v>4</v>
      </c>
      <c r="G24" s="8">
        <v>8725.32</v>
      </c>
      <c r="H24" s="11" t="s">
        <v>126</v>
      </c>
      <c r="I24" s="11">
        <v>3.75</v>
      </c>
      <c r="J24" s="11">
        <v>29500.306920000003</v>
      </c>
      <c r="K24" s="11">
        <v>28013.512391999997</v>
      </c>
      <c r="L24" s="11">
        <v>26285.899031999998</v>
      </c>
      <c r="M24" s="11">
        <v>24498.080964000001</v>
      </c>
      <c r="N24" s="11">
        <v>22409.239355999998</v>
      </c>
      <c r="O24" s="11">
        <v>22409.239355999998</v>
      </c>
      <c r="P24" s="11">
        <v>32719.949999999997</v>
      </c>
      <c r="Q24" s="11">
        <v>32719.949999999997</v>
      </c>
      <c r="R24" s="11">
        <v>32719.949999999997</v>
      </c>
      <c r="S24" s="11">
        <v>32719.949999999997</v>
      </c>
      <c r="T24" s="11">
        <v>31602.236508000002</v>
      </c>
      <c r="U24" s="11">
        <v>30610.167623999998</v>
      </c>
      <c r="W24" s="32" t="s">
        <v>54</v>
      </c>
      <c r="X24" s="13">
        <v>216699.22681999998</v>
      </c>
      <c r="Y24" s="13">
        <v>199585.74693199998</v>
      </c>
      <c r="Z24" s="13">
        <v>179700.36537199997</v>
      </c>
      <c r="AA24" s="13">
        <v>159122.008394</v>
      </c>
      <c r="AB24" s="13">
        <v>135078.77432600001</v>
      </c>
      <c r="AC24" s="13">
        <v>135078.77432600001</v>
      </c>
      <c r="AD24" s="13">
        <v>253758.34699999998</v>
      </c>
      <c r="AE24" s="13">
        <v>253758.34699999998</v>
      </c>
      <c r="AF24" s="13">
        <v>253758.34699999998</v>
      </c>
      <c r="AG24" s="13">
        <v>253758.34699999998</v>
      </c>
      <c r="AH24" s="13">
        <v>240893.10771800004</v>
      </c>
      <c r="AI24" s="13">
        <v>229474.07800400001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>
        <v>216699.22681999998</v>
      </c>
      <c r="AW24" s="13">
        <v>199585.74693199998</v>
      </c>
      <c r="AX24" s="13">
        <v>179700.36537199997</v>
      </c>
      <c r="AY24" s="13">
        <v>159122.008394</v>
      </c>
      <c r="AZ24" s="13">
        <v>135078.77432600001</v>
      </c>
      <c r="BA24" s="13">
        <v>135078.77432600001</v>
      </c>
      <c r="BB24" s="13">
        <v>253758.34699999998</v>
      </c>
      <c r="BC24" s="13">
        <v>253758.34699999998</v>
      </c>
      <c r="BD24" s="13">
        <v>253758.34699999998</v>
      </c>
      <c r="BE24" s="13">
        <v>253758.34699999998</v>
      </c>
      <c r="BF24" s="13">
        <v>240893.10771800004</v>
      </c>
      <c r="BG24" s="13">
        <v>229474.07800400001</v>
      </c>
    </row>
    <row r="25" spans="1:59" x14ac:dyDescent="0.25">
      <c r="A25" s="8">
        <v>23</v>
      </c>
      <c r="B25" s="8">
        <v>20.022600000000001</v>
      </c>
      <c r="C25" s="8">
        <v>84.975999999999999</v>
      </c>
      <c r="D25" s="8" t="s">
        <v>7</v>
      </c>
      <c r="E25" s="8" t="s">
        <v>93</v>
      </c>
      <c r="F25" s="21">
        <v>4</v>
      </c>
      <c r="G25" s="8">
        <v>50782.82</v>
      </c>
      <c r="H25" s="11" t="s">
        <v>55</v>
      </c>
      <c r="I25" s="11">
        <v>3.75</v>
      </c>
      <c r="J25" s="11">
        <v>171696.71442</v>
      </c>
      <c r="K25" s="11">
        <v>163043.32189200001</v>
      </c>
      <c r="L25" s="11">
        <v>152988.32353200001</v>
      </c>
      <c r="M25" s="11">
        <v>142582.923714</v>
      </c>
      <c r="N25" s="11">
        <v>130425.51660599999</v>
      </c>
      <c r="O25" s="11">
        <v>130425.51660599999</v>
      </c>
      <c r="P25" s="11">
        <v>190435.57500000001</v>
      </c>
      <c r="Q25" s="11">
        <v>190435.57500000001</v>
      </c>
      <c r="R25" s="11">
        <v>190435.57500000001</v>
      </c>
      <c r="S25" s="11">
        <v>190435.57500000001</v>
      </c>
      <c r="T25" s="11">
        <v>183930.29575799999</v>
      </c>
      <c r="U25" s="11">
        <v>178156.289124</v>
      </c>
      <c r="W25" s="32" t="s">
        <v>63</v>
      </c>
      <c r="X25" s="13">
        <v>177674.21349999995</v>
      </c>
      <c r="Y25" s="13">
        <v>167420.64910000001</v>
      </c>
      <c r="Z25" s="13">
        <v>155506.29609999998</v>
      </c>
      <c r="AA25" s="13">
        <v>143176.74595000001</v>
      </c>
      <c r="AB25" s="13">
        <v>128771.21005000002</v>
      </c>
      <c r="AC25" s="13">
        <v>128771.21005000002</v>
      </c>
      <c r="AD25" s="13">
        <v>199878.23500000002</v>
      </c>
      <c r="AE25" s="13">
        <v>199878.23500000002</v>
      </c>
      <c r="AF25" s="13">
        <v>199878.23500000002</v>
      </c>
      <c r="AG25" s="13">
        <v>199878.23500000002</v>
      </c>
      <c r="AH25" s="13">
        <v>192170.00965000002</v>
      </c>
      <c r="AI25" s="13">
        <v>185328.28270000001</v>
      </c>
      <c r="AJ25" s="13">
        <v>5825.9525660000008</v>
      </c>
      <c r="AK25" s="13">
        <v>4699.1167916000004</v>
      </c>
      <c r="AL25" s="13">
        <v>3389.7653636</v>
      </c>
      <c r="AM25" s="13">
        <v>2034.7850222</v>
      </c>
      <c r="AN25" s="13">
        <v>451.6601138000002</v>
      </c>
      <c r="AO25" s="13">
        <v>451.6601138000002</v>
      </c>
      <c r="AP25" s="13">
        <v>8266.1075000000001</v>
      </c>
      <c r="AQ25" s="13">
        <v>8266.1075000000001</v>
      </c>
      <c r="AR25" s="13">
        <v>8266.1075000000001</v>
      </c>
      <c r="AS25" s="13">
        <v>8266.1075000000001</v>
      </c>
      <c r="AT25" s="13">
        <v>7418.9968034000012</v>
      </c>
      <c r="AU25" s="13">
        <v>6667.1116652000001</v>
      </c>
      <c r="AV25" s="13">
        <v>183500.16606599995</v>
      </c>
      <c r="AW25" s="13">
        <v>172119.76589160002</v>
      </c>
      <c r="AX25" s="13">
        <v>158896.06146359997</v>
      </c>
      <c r="AY25" s="13">
        <v>145211.53097220001</v>
      </c>
      <c r="AZ25" s="13">
        <v>129222.87016380002</v>
      </c>
      <c r="BA25" s="13">
        <v>129222.87016380002</v>
      </c>
      <c r="BB25" s="13">
        <v>208144.34250000003</v>
      </c>
      <c r="BC25" s="13">
        <v>208144.34250000003</v>
      </c>
      <c r="BD25" s="13">
        <v>208144.34250000003</v>
      </c>
      <c r="BE25" s="13">
        <v>208144.34250000003</v>
      </c>
      <c r="BF25" s="13">
        <v>199589.00645340001</v>
      </c>
      <c r="BG25" s="13">
        <v>191995.39436520002</v>
      </c>
    </row>
    <row r="26" spans="1:59" x14ac:dyDescent="0.25">
      <c r="A26" s="8">
        <v>24</v>
      </c>
      <c r="B26" s="8">
        <v>20.014800000000001</v>
      </c>
      <c r="C26" s="8">
        <v>84.965599999999995</v>
      </c>
      <c r="D26" s="8" t="s">
        <v>7</v>
      </c>
      <c r="E26" s="8" t="s">
        <v>93</v>
      </c>
      <c r="F26" s="21">
        <v>3</v>
      </c>
      <c r="G26" s="8">
        <v>14540.93</v>
      </c>
      <c r="H26" s="11" t="s">
        <v>126</v>
      </c>
      <c r="I26" s="11">
        <v>2.75</v>
      </c>
      <c r="J26" s="11">
        <v>34621.95433</v>
      </c>
      <c r="K26" s="11">
        <v>32144.179858</v>
      </c>
      <c r="L26" s="11">
        <v>29265.075718</v>
      </c>
      <c r="M26" s="11">
        <v>26285.639161000003</v>
      </c>
      <c r="N26" s="11">
        <v>22804.540519000002</v>
      </c>
      <c r="O26" s="11">
        <v>22804.540519000002</v>
      </c>
      <c r="P26" s="11">
        <v>39987.557500000003</v>
      </c>
      <c r="Q26" s="11">
        <v>39987.557500000003</v>
      </c>
      <c r="R26" s="11">
        <v>39987.557500000003</v>
      </c>
      <c r="S26" s="11">
        <v>39987.557500000003</v>
      </c>
      <c r="T26" s="11">
        <v>38124.864367000002</v>
      </c>
      <c r="U26" s="11">
        <v>36471.560625999999</v>
      </c>
      <c r="W26" s="32" t="s">
        <v>57</v>
      </c>
      <c r="X26" s="13">
        <v>183955.51035</v>
      </c>
      <c r="Y26" s="13">
        <v>173265.06590999995</v>
      </c>
      <c r="Z26" s="13">
        <v>160843.07061000002</v>
      </c>
      <c r="AA26" s="13">
        <v>147988.18759500002</v>
      </c>
      <c r="AB26" s="13">
        <v>132968.86600499999</v>
      </c>
      <c r="AC26" s="13">
        <v>132968.86600499999</v>
      </c>
      <c r="AD26" s="13">
        <v>207105.59249999997</v>
      </c>
      <c r="AE26" s="13">
        <v>207105.59249999997</v>
      </c>
      <c r="AF26" s="13">
        <v>207105.59249999997</v>
      </c>
      <c r="AG26" s="13">
        <v>207105.59249999997</v>
      </c>
      <c r="AH26" s="13">
        <v>199068.93796499999</v>
      </c>
      <c r="AI26" s="13">
        <v>191935.70126999993</v>
      </c>
      <c r="AJ26" s="13">
        <v>546.83215500000006</v>
      </c>
      <c r="AK26" s="13">
        <v>302.26470300000005</v>
      </c>
      <c r="AL26" s="13">
        <v>18.08421299999992</v>
      </c>
      <c r="AM26" s="13">
        <v>0</v>
      </c>
      <c r="AN26" s="13">
        <v>0</v>
      </c>
      <c r="AO26" s="13">
        <v>0</v>
      </c>
      <c r="AP26" s="13">
        <v>1076.4412500000001</v>
      </c>
      <c r="AQ26" s="13">
        <v>1076.4412500000001</v>
      </c>
      <c r="AR26" s="13">
        <v>1076.4412500000001</v>
      </c>
      <c r="AS26" s="13">
        <v>1076.4412500000001</v>
      </c>
      <c r="AT26" s="13">
        <v>892.58508450000011</v>
      </c>
      <c r="AU26" s="13">
        <v>729.39659100000006</v>
      </c>
      <c r="AV26" s="13">
        <v>184502.34250500001</v>
      </c>
      <c r="AW26" s="13">
        <v>173567.33061299994</v>
      </c>
      <c r="AX26" s="13">
        <v>160861.15482300002</v>
      </c>
      <c r="AY26" s="13">
        <v>147988.18759500002</v>
      </c>
      <c r="AZ26" s="13">
        <v>132968.86600499999</v>
      </c>
      <c r="BA26" s="13">
        <v>132968.86600499999</v>
      </c>
      <c r="BB26" s="13">
        <v>208182.03374999997</v>
      </c>
      <c r="BC26" s="13">
        <v>208182.03374999997</v>
      </c>
      <c r="BD26" s="13">
        <v>208182.03374999997</v>
      </c>
      <c r="BE26" s="13">
        <v>208182.03374999997</v>
      </c>
      <c r="BF26" s="13">
        <v>199961.52304949999</v>
      </c>
      <c r="BG26" s="13">
        <v>192665.09786099993</v>
      </c>
    </row>
    <row r="27" spans="1:59" x14ac:dyDescent="0.25">
      <c r="A27" s="8">
        <v>25</v>
      </c>
      <c r="B27" s="8">
        <v>20.0075</v>
      </c>
      <c r="C27" s="8">
        <v>84.965800000000002</v>
      </c>
      <c r="D27" s="8" t="s">
        <v>7</v>
      </c>
      <c r="E27" s="8" t="s">
        <v>93</v>
      </c>
      <c r="F27" s="21">
        <v>2</v>
      </c>
      <c r="G27" s="8">
        <v>1837.4</v>
      </c>
      <c r="H27" s="11" t="s">
        <v>126</v>
      </c>
      <c r="I27" s="11">
        <v>1.75</v>
      </c>
      <c r="J27" s="11">
        <v>2537.4494</v>
      </c>
      <c r="K27" s="11">
        <v>2224.35644</v>
      </c>
      <c r="L27" s="11">
        <v>1860.55124</v>
      </c>
      <c r="M27" s="11">
        <v>1484.06798</v>
      </c>
      <c r="N27" s="11">
        <v>1044.19442</v>
      </c>
      <c r="O27" s="11">
        <v>1044.19442</v>
      </c>
      <c r="P27" s="11">
        <v>3215.4500000000003</v>
      </c>
      <c r="Q27" s="11">
        <v>3215.4500000000003</v>
      </c>
      <c r="R27" s="11">
        <v>3215.4500000000003</v>
      </c>
      <c r="S27" s="11">
        <v>3215.4500000000003</v>
      </c>
      <c r="T27" s="11">
        <v>2980.0790600000005</v>
      </c>
      <c r="U27" s="11">
        <v>2771.1666800000003</v>
      </c>
      <c r="W27" s="32" t="s">
        <v>53</v>
      </c>
      <c r="X27" s="13">
        <v>207633.85192999998</v>
      </c>
      <c r="Y27" s="13">
        <v>194400.49761799999</v>
      </c>
      <c r="Z27" s="13">
        <v>179023.71267800001</v>
      </c>
      <c r="AA27" s="13">
        <v>163111.07008100001</v>
      </c>
      <c r="AB27" s="13">
        <v>144519.13919900003</v>
      </c>
      <c r="AC27" s="13">
        <v>144519.13919900003</v>
      </c>
      <c r="AD27" s="13">
        <v>236290.58749999999</v>
      </c>
      <c r="AE27" s="13">
        <v>236290.58749999999</v>
      </c>
      <c r="AF27" s="13">
        <v>236290.58749999999</v>
      </c>
      <c r="AG27" s="13">
        <v>236290.58749999999</v>
      </c>
      <c r="AH27" s="13">
        <v>226342.27360700001</v>
      </c>
      <c r="AI27" s="13">
        <v>217512.27134599999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395.03025000000002</v>
      </c>
      <c r="AQ27" s="13">
        <v>395.03025000000002</v>
      </c>
      <c r="AR27" s="13">
        <v>395.03025000000002</v>
      </c>
      <c r="AS27" s="13">
        <v>395.03025000000002</v>
      </c>
      <c r="AT27" s="13">
        <v>192.61674990000003</v>
      </c>
      <c r="AU27" s="13">
        <v>12.956992199999977</v>
      </c>
      <c r="AV27" s="13">
        <v>207633.85192999998</v>
      </c>
      <c r="AW27" s="13">
        <v>194400.49761799999</v>
      </c>
      <c r="AX27" s="13">
        <v>179023.71267800001</v>
      </c>
      <c r="AY27" s="13">
        <v>163111.07008100001</v>
      </c>
      <c r="AZ27" s="13">
        <v>144519.13919900003</v>
      </c>
      <c r="BA27" s="13">
        <v>144519.13919900003</v>
      </c>
      <c r="BB27" s="13">
        <v>236685.61775</v>
      </c>
      <c r="BC27" s="13">
        <v>236685.61775</v>
      </c>
      <c r="BD27" s="13">
        <v>236685.61775</v>
      </c>
      <c r="BE27" s="13">
        <v>236685.61775</v>
      </c>
      <c r="BF27" s="13">
        <v>226534.8903569</v>
      </c>
      <c r="BG27" s="13">
        <v>217525.22833819999</v>
      </c>
    </row>
    <row r="28" spans="1:59" x14ac:dyDescent="0.25">
      <c r="A28" s="8">
        <v>26</v>
      </c>
      <c r="B28" s="8">
        <v>20.006900000000002</v>
      </c>
      <c r="C28" s="8">
        <v>84.965900000000005</v>
      </c>
      <c r="D28" s="8" t="s">
        <v>7</v>
      </c>
      <c r="E28" s="8" t="s">
        <v>93</v>
      </c>
      <c r="F28" s="21">
        <v>3</v>
      </c>
      <c r="G28" s="8">
        <v>6228.45</v>
      </c>
      <c r="H28" s="11" t="s">
        <v>126</v>
      </c>
      <c r="I28" s="11">
        <v>2.75</v>
      </c>
      <c r="J28" s="11">
        <v>14829.939450000002</v>
      </c>
      <c r="K28" s="11">
        <v>13768.611569999999</v>
      </c>
      <c r="L28" s="11">
        <v>12535.37847</v>
      </c>
      <c r="M28" s="11">
        <v>11259.169065</v>
      </c>
      <c r="N28" s="11">
        <v>9768.0781349999997</v>
      </c>
      <c r="O28" s="11">
        <v>9768.0781349999997</v>
      </c>
      <c r="P28" s="11">
        <v>17128.237499999999</v>
      </c>
      <c r="Q28" s="11">
        <v>17128.237499999999</v>
      </c>
      <c r="R28" s="11">
        <v>17128.237499999999</v>
      </c>
      <c r="S28" s="11">
        <v>17128.237499999999</v>
      </c>
      <c r="T28" s="11">
        <v>16330.373055</v>
      </c>
      <c r="U28" s="11">
        <v>15622.19829</v>
      </c>
      <c r="W28" s="32" t="s">
        <v>126</v>
      </c>
      <c r="X28" s="13">
        <v>233624.48290000006</v>
      </c>
      <c r="Y28" s="13">
        <v>218545.63353999995</v>
      </c>
      <c r="Z28" s="13">
        <v>201024.43533999997</v>
      </c>
      <c r="AA28" s="13">
        <v>182892.64993000001</v>
      </c>
      <c r="AB28" s="13">
        <v>161707.92846999998</v>
      </c>
      <c r="AC28" s="13">
        <v>161707.92846999998</v>
      </c>
      <c r="AD28" s="13">
        <v>266277.625</v>
      </c>
      <c r="AE28" s="13">
        <v>266277.625</v>
      </c>
      <c r="AF28" s="13">
        <v>266277.625</v>
      </c>
      <c r="AG28" s="13">
        <v>266277.625</v>
      </c>
      <c r="AH28" s="13">
        <v>254941.94071000005</v>
      </c>
      <c r="AI28" s="13">
        <v>244880.52538000004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>
        <v>233624.48290000006</v>
      </c>
      <c r="AW28" s="13">
        <v>218545.63353999995</v>
      </c>
      <c r="AX28" s="13">
        <v>201024.43533999997</v>
      </c>
      <c r="AY28" s="13">
        <v>182892.64993000001</v>
      </c>
      <c r="AZ28" s="13">
        <v>161707.92846999998</v>
      </c>
      <c r="BA28" s="13">
        <v>161707.92846999998</v>
      </c>
      <c r="BB28" s="13">
        <v>266277.625</v>
      </c>
      <c r="BC28" s="13">
        <v>266277.625</v>
      </c>
      <c r="BD28" s="13">
        <v>266277.625</v>
      </c>
      <c r="BE28" s="13">
        <v>266277.625</v>
      </c>
      <c r="BF28" s="13">
        <v>254941.94071000005</v>
      </c>
      <c r="BG28" s="13">
        <v>244880.52538000004</v>
      </c>
    </row>
    <row r="29" spans="1:59" x14ac:dyDescent="0.25">
      <c r="A29" s="8">
        <v>27</v>
      </c>
      <c r="B29" s="8">
        <v>20.0063</v>
      </c>
      <c r="C29" s="8">
        <v>84.966499999999996</v>
      </c>
      <c r="D29" s="8" t="s">
        <v>7</v>
      </c>
      <c r="E29" s="8" t="s">
        <v>93</v>
      </c>
      <c r="F29" s="21">
        <v>2</v>
      </c>
      <c r="G29" s="8">
        <v>3637.72</v>
      </c>
      <c r="H29" s="11" t="s">
        <v>126</v>
      </c>
      <c r="I29" s="11">
        <v>1.75</v>
      </c>
      <c r="J29" s="11">
        <v>5023.6913199999999</v>
      </c>
      <c r="K29" s="11">
        <v>4403.8238319999991</v>
      </c>
      <c r="L29" s="11">
        <v>3683.5552719999996</v>
      </c>
      <c r="M29" s="11">
        <v>2938.1864439999999</v>
      </c>
      <c r="N29" s="11">
        <v>2067.316276</v>
      </c>
      <c r="O29" s="11">
        <v>2067.316276</v>
      </c>
      <c r="P29" s="11">
        <v>6366.0099999999993</v>
      </c>
      <c r="Q29" s="11">
        <v>6366.0099999999993</v>
      </c>
      <c r="R29" s="11">
        <v>6366.0099999999993</v>
      </c>
      <c r="S29" s="11">
        <v>6366.0099999999993</v>
      </c>
      <c r="T29" s="11">
        <v>5900.0180680000003</v>
      </c>
      <c r="U29" s="11">
        <v>5486.4093039999998</v>
      </c>
      <c r="W29" s="32" t="s">
        <v>58</v>
      </c>
      <c r="X29" s="13">
        <v>776769.64494999999</v>
      </c>
      <c r="Y29" s="13">
        <v>733995.16386999958</v>
      </c>
      <c r="Z29" s="13">
        <v>684292.42176999978</v>
      </c>
      <c r="AA29" s="13">
        <v>632857.61441499996</v>
      </c>
      <c r="AB29" s="13">
        <v>572762.48078500025</v>
      </c>
      <c r="AC29" s="13">
        <v>572762.48078500025</v>
      </c>
      <c r="AD29" s="13">
        <v>869397.48249999981</v>
      </c>
      <c r="AE29" s="13">
        <v>869397.48249999981</v>
      </c>
      <c r="AF29" s="13">
        <v>869397.48249999981</v>
      </c>
      <c r="AG29" s="13">
        <v>869397.48249999981</v>
      </c>
      <c r="AH29" s="13">
        <v>837241.31450500002</v>
      </c>
      <c r="AI29" s="13">
        <v>808699.89139000024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>
        <v>776769.64494999999</v>
      </c>
      <c r="AW29" s="13">
        <v>733995.16386999958</v>
      </c>
      <c r="AX29" s="13">
        <v>684292.42176999978</v>
      </c>
      <c r="AY29" s="13">
        <v>632857.61441499996</v>
      </c>
      <c r="AZ29" s="13">
        <v>572762.48078500025</v>
      </c>
      <c r="BA29" s="13">
        <v>572762.48078500025</v>
      </c>
      <c r="BB29" s="13">
        <v>869397.48249999981</v>
      </c>
      <c r="BC29" s="13">
        <v>869397.48249999981</v>
      </c>
      <c r="BD29" s="13">
        <v>869397.48249999981</v>
      </c>
      <c r="BE29" s="13">
        <v>869397.48249999981</v>
      </c>
      <c r="BF29" s="13">
        <v>837241.31450500002</v>
      </c>
      <c r="BG29" s="13">
        <v>808699.89139000024</v>
      </c>
    </row>
    <row r="30" spans="1:59" x14ac:dyDescent="0.25">
      <c r="A30" s="8">
        <v>28</v>
      </c>
      <c r="B30" s="8">
        <v>20.0063</v>
      </c>
      <c r="C30" s="8">
        <v>84.969300000000004</v>
      </c>
      <c r="D30" s="8" t="s">
        <v>7</v>
      </c>
      <c r="E30" s="8" t="s">
        <v>93</v>
      </c>
      <c r="F30" s="21">
        <v>2</v>
      </c>
      <c r="G30" s="8">
        <v>721.48</v>
      </c>
      <c r="H30" s="11" t="s">
        <v>126</v>
      </c>
      <c r="I30" s="11">
        <v>1.75</v>
      </c>
      <c r="J30" s="11">
        <v>996.36387999999999</v>
      </c>
      <c r="K30" s="11">
        <v>873.42368799999997</v>
      </c>
      <c r="L30" s="11">
        <v>730.57064800000001</v>
      </c>
      <c r="M30" s="11">
        <v>582.73939599999994</v>
      </c>
      <c r="N30" s="11">
        <v>410.01708400000001</v>
      </c>
      <c r="O30" s="11">
        <v>410.01708400000001</v>
      </c>
      <c r="P30" s="11">
        <v>1262.5900000000001</v>
      </c>
      <c r="Q30" s="11">
        <v>1262.5900000000001</v>
      </c>
      <c r="R30" s="11">
        <v>1262.5900000000001</v>
      </c>
      <c r="S30" s="11">
        <v>1262.5900000000001</v>
      </c>
      <c r="T30" s="11">
        <v>1170.1684120000002</v>
      </c>
      <c r="U30" s="11">
        <v>1088.1361360000001</v>
      </c>
      <c r="W30" s="32" t="s">
        <v>55</v>
      </c>
      <c r="X30" s="13">
        <v>183949.58865999998</v>
      </c>
      <c r="Y30" s="13">
        <v>174049.031716</v>
      </c>
      <c r="Z30" s="13">
        <v>162544.86343600001</v>
      </c>
      <c r="AA30" s="13">
        <v>150639.79232199996</v>
      </c>
      <c r="AB30" s="13">
        <v>136730.20703799996</v>
      </c>
      <c r="AC30" s="13">
        <v>136730.20703799996</v>
      </c>
      <c r="AD30" s="13">
        <v>205389.17500000002</v>
      </c>
      <c r="AE30" s="13">
        <v>205389.17500000002</v>
      </c>
      <c r="AF30" s="13">
        <v>205389.17500000002</v>
      </c>
      <c r="AG30" s="13">
        <v>205389.17500000002</v>
      </c>
      <c r="AH30" s="13">
        <v>197946.326734</v>
      </c>
      <c r="AI30" s="13">
        <v>191340.14525200002</v>
      </c>
      <c r="AJ30" s="13">
        <v>691.50496980000003</v>
      </c>
      <c r="AK30" s="13">
        <v>495.14183747999999</v>
      </c>
      <c r="AL30" s="13">
        <v>266.9734090799999</v>
      </c>
      <c r="AM30" s="13">
        <v>155.35994543999999</v>
      </c>
      <c r="AN30" s="13">
        <v>34.485161760000011</v>
      </c>
      <c r="AO30" s="13">
        <v>34.485161760000011</v>
      </c>
      <c r="AP30" s="13">
        <v>1335.2817500000001</v>
      </c>
      <c r="AQ30" s="13">
        <v>1335.2817500000001</v>
      </c>
      <c r="AR30" s="13">
        <v>1335.2817500000001</v>
      </c>
      <c r="AS30" s="13">
        <v>1335.2817500000001</v>
      </c>
      <c r="AT30" s="13">
        <v>1075.6767239000001</v>
      </c>
      <c r="AU30" s="13">
        <v>845.25446420000003</v>
      </c>
      <c r="AV30" s="13">
        <v>184641.09362979999</v>
      </c>
      <c r="AW30" s="13">
        <v>174544.17355348001</v>
      </c>
      <c r="AX30" s="13">
        <v>162811.83684508002</v>
      </c>
      <c r="AY30" s="13">
        <v>150795.15226743996</v>
      </c>
      <c r="AZ30" s="13">
        <v>136764.69219975997</v>
      </c>
      <c r="BA30" s="13">
        <v>136764.69219975997</v>
      </c>
      <c r="BB30" s="13">
        <v>206724.45675000001</v>
      </c>
      <c r="BC30" s="13">
        <v>206724.45675000001</v>
      </c>
      <c r="BD30" s="13">
        <v>206724.45675000001</v>
      </c>
      <c r="BE30" s="13">
        <v>206724.45675000001</v>
      </c>
      <c r="BF30" s="13">
        <v>199022.00345789999</v>
      </c>
      <c r="BG30" s="13">
        <v>192185.39971620002</v>
      </c>
    </row>
    <row r="31" spans="1:59" x14ac:dyDescent="0.25">
      <c r="A31" s="8">
        <v>29</v>
      </c>
      <c r="B31" s="8">
        <v>20.004899999999999</v>
      </c>
      <c r="C31" s="8">
        <v>84.971000000000004</v>
      </c>
      <c r="D31" s="8" t="s">
        <v>7</v>
      </c>
      <c r="E31" s="8" t="s">
        <v>93</v>
      </c>
      <c r="F31" s="21">
        <v>2</v>
      </c>
      <c r="G31" s="8">
        <v>549.59</v>
      </c>
      <c r="H31" s="11" t="s">
        <v>126</v>
      </c>
      <c r="I31" s="11">
        <v>1.75</v>
      </c>
      <c r="J31" s="11">
        <v>758.98379</v>
      </c>
      <c r="K31" s="11">
        <v>665.33365400000002</v>
      </c>
      <c r="L31" s="11">
        <v>556.51483399999995</v>
      </c>
      <c r="M31" s="11">
        <v>443.90384299999999</v>
      </c>
      <c r="N31" s="11">
        <v>312.33199700000006</v>
      </c>
      <c r="O31" s="11">
        <v>312.33199700000006</v>
      </c>
      <c r="P31" s="11">
        <v>961.78250000000003</v>
      </c>
      <c r="Q31" s="11">
        <v>961.78250000000003</v>
      </c>
      <c r="R31" s="11">
        <v>961.78250000000003</v>
      </c>
      <c r="S31" s="11">
        <v>961.78250000000003</v>
      </c>
      <c r="T31" s="11">
        <v>891.38002100000017</v>
      </c>
      <c r="U31" s="11">
        <v>828.89163800000006</v>
      </c>
      <c r="W31" s="32" t="s">
        <v>60</v>
      </c>
      <c r="X31" s="13">
        <v>373476.81929000007</v>
      </c>
      <c r="Y31" s="13">
        <v>351944.20795399992</v>
      </c>
      <c r="Z31" s="13">
        <v>326923.92013400001</v>
      </c>
      <c r="AA31" s="13">
        <v>301031.71319300006</v>
      </c>
      <c r="AB31" s="13">
        <v>270779.91064700007</v>
      </c>
      <c r="AC31" s="13">
        <v>270779.91064700007</v>
      </c>
      <c r="AD31" s="13">
        <v>420105.53750000003</v>
      </c>
      <c r="AE31" s="13">
        <v>420105.53750000003</v>
      </c>
      <c r="AF31" s="13">
        <v>420105.53750000003</v>
      </c>
      <c r="AG31" s="13">
        <v>420105.53750000003</v>
      </c>
      <c r="AH31" s="13">
        <v>403918.16947100009</v>
      </c>
      <c r="AI31" s="13">
        <v>389550.4587379999</v>
      </c>
      <c r="AJ31" s="13">
        <v>496.32713790000003</v>
      </c>
      <c r="AK31" s="13">
        <v>274.34775653999998</v>
      </c>
      <c r="AL31" s="13">
        <v>16.413968339999929</v>
      </c>
      <c r="AM31" s="13">
        <v>0</v>
      </c>
      <c r="AN31" s="13">
        <v>0</v>
      </c>
      <c r="AO31" s="13">
        <v>0</v>
      </c>
      <c r="AP31" s="13">
        <v>977.02192500000001</v>
      </c>
      <c r="AQ31" s="13">
        <v>977.02192500000001</v>
      </c>
      <c r="AR31" s="13">
        <v>977.02192500000001</v>
      </c>
      <c r="AS31" s="13">
        <v>977.02192500000001</v>
      </c>
      <c r="AT31" s="13">
        <v>810.14658021000002</v>
      </c>
      <c r="AU31" s="13">
        <v>662.03005638000002</v>
      </c>
      <c r="AV31" s="13">
        <v>373973.14642790006</v>
      </c>
      <c r="AW31" s="13">
        <v>352218.55571053992</v>
      </c>
      <c r="AX31" s="13">
        <v>326940.33410234004</v>
      </c>
      <c r="AY31" s="13">
        <v>301031.71319300006</v>
      </c>
      <c r="AZ31" s="13">
        <v>270779.91064700007</v>
      </c>
      <c r="BA31" s="13">
        <v>270779.91064700007</v>
      </c>
      <c r="BB31" s="13">
        <v>421082.55942500004</v>
      </c>
      <c r="BC31" s="13">
        <v>421082.55942500004</v>
      </c>
      <c r="BD31" s="13">
        <v>421082.55942500004</v>
      </c>
      <c r="BE31" s="13">
        <v>421082.55942500004</v>
      </c>
      <c r="BF31" s="13">
        <v>404728.3160512101</v>
      </c>
      <c r="BG31" s="13">
        <v>390212.48879437993</v>
      </c>
    </row>
    <row r="32" spans="1:59" x14ac:dyDescent="0.25">
      <c r="A32" s="8">
        <v>30</v>
      </c>
      <c r="B32" s="8">
        <v>19.999199999999998</v>
      </c>
      <c r="C32" s="8">
        <v>84.972200000000001</v>
      </c>
      <c r="D32" s="8" t="s">
        <v>7</v>
      </c>
      <c r="E32" s="8" t="s">
        <v>93</v>
      </c>
      <c r="F32" s="21">
        <v>4</v>
      </c>
      <c r="G32" s="8">
        <v>8715.41</v>
      </c>
      <c r="H32" s="11" t="s">
        <v>126</v>
      </c>
      <c r="I32" s="11">
        <v>3.75</v>
      </c>
      <c r="J32" s="11">
        <v>29466.801210000001</v>
      </c>
      <c r="K32" s="11">
        <v>27981.695346</v>
      </c>
      <c r="L32" s="11">
        <v>26256.044166</v>
      </c>
      <c r="M32" s="11">
        <v>24470.256657000002</v>
      </c>
      <c r="N32" s="11">
        <v>22383.787503</v>
      </c>
      <c r="O32" s="11">
        <v>22383.787503</v>
      </c>
      <c r="P32" s="11">
        <v>32682.787499999999</v>
      </c>
      <c r="Q32" s="11">
        <v>32682.787499999999</v>
      </c>
      <c r="R32" s="11">
        <v>32682.787499999999</v>
      </c>
      <c r="S32" s="11">
        <v>32682.787499999999</v>
      </c>
      <c r="T32" s="11">
        <v>31566.343478999999</v>
      </c>
      <c r="U32" s="11">
        <v>30575.401362000001</v>
      </c>
      <c r="W32" s="32" t="s">
        <v>62</v>
      </c>
      <c r="X32" s="13">
        <v>469067.87818999996</v>
      </c>
      <c r="Y32" s="13">
        <v>440365.36309400009</v>
      </c>
      <c r="Z32" s="13">
        <v>407013.84907399991</v>
      </c>
      <c r="AA32" s="13">
        <v>372500.08532299998</v>
      </c>
      <c r="AB32" s="13">
        <v>332175.07291699998</v>
      </c>
      <c r="AC32" s="13">
        <v>332175.07291699998</v>
      </c>
      <c r="AD32" s="13">
        <v>531222.97250000003</v>
      </c>
      <c r="AE32" s="13">
        <v>531222.97250000003</v>
      </c>
      <c r="AF32" s="13">
        <v>531222.97250000003</v>
      </c>
      <c r="AG32" s="13">
        <v>531222.97250000003</v>
      </c>
      <c r="AH32" s="13">
        <v>509645.55358100019</v>
      </c>
      <c r="AI32" s="13">
        <v>490493.69931799994</v>
      </c>
      <c r="AJ32" s="13">
        <v>120.7620648</v>
      </c>
      <c r="AK32" s="13">
        <v>66.751944480000006</v>
      </c>
      <c r="AL32" s="13">
        <v>3.9937060799999826</v>
      </c>
      <c r="AM32" s="13">
        <v>0</v>
      </c>
      <c r="AN32" s="13">
        <v>0</v>
      </c>
      <c r="AO32" s="13">
        <v>0</v>
      </c>
      <c r="AP32" s="13">
        <v>237.72059999999999</v>
      </c>
      <c r="AQ32" s="13">
        <v>237.72059999999999</v>
      </c>
      <c r="AR32" s="13">
        <v>237.72059999999999</v>
      </c>
      <c r="AS32" s="13">
        <v>237.72059999999999</v>
      </c>
      <c r="AT32" s="13">
        <v>197.11792152000001</v>
      </c>
      <c r="AU32" s="13">
        <v>161.07947856000001</v>
      </c>
      <c r="AV32" s="13">
        <v>469188.64025479998</v>
      </c>
      <c r="AW32" s="13">
        <v>440432.11503848009</v>
      </c>
      <c r="AX32" s="13">
        <v>407017.84278007993</v>
      </c>
      <c r="AY32" s="13">
        <v>372500.08532299998</v>
      </c>
      <c r="AZ32" s="13">
        <v>332175.07291699998</v>
      </c>
      <c r="BA32" s="13">
        <v>332175.07291699998</v>
      </c>
      <c r="BB32" s="13">
        <v>531460.69310000003</v>
      </c>
      <c r="BC32" s="13">
        <v>531460.69310000003</v>
      </c>
      <c r="BD32" s="13">
        <v>531460.69310000003</v>
      </c>
      <c r="BE32" s="13">
        <v>531460.69310000003</v>
      </c>
      <c r="BF32" s="13">
        <v>509842.67150252021</v>
      </c>
      <c r="BG32" s="13">
        <v>490654.77879655996</v>
      </c>
    </row>
    <row r="33" spans="1:59" x14ac:dyDescent="0.25">
      <c r="A33" s="8">
        <v>31</v>
      </c>
      <c r="B33" s="8">
        <v>19.996400000000001</v>
      </c>
      <c r="C33" s="8">
        <v>84.972899999999996</v>
      </c>
      <c r="D33" s="8" t="s">
        <v>7</v>
      </c>
      <c r="E33" s="8" t="s">
        <v>93</v>
      </c>
      <c r="F33" s="21">
        <v>4</v>
      </c>
      <c r="G33" s="8">
        <v>1121.71</v>
      </c>
      <c r="H33" s="11" t="s">
        <v>126</v>
      </c>
      <c r="I33" s="11">
        <v>3.75</v>
      </c>
      <c r="J33" s="11">
        <v>3792.5015100000005</v>
      </c>
      <c r="K33" s="11">
        <v>3601.362126</v>
      </c>
      <c r="L33" s="11">
        <v>3379.2635460000001</v>
      </c>
      <c r="M33" s="11">
        <v>3149.4251670000003</v>
      </c>
      <c r="N33" s="11">
        <v>2880.8877929999999</v>
      </c>
      <c r="O33" s="11">
        <v>2880.8877929999999</v>
      </c>
      <c r="P33" s="11">
        <v>4206.4125000000004</v>
      </c>
      <c r="Q33" s="11">
        <v>4206.4125000000004</v>
      </c>
      <c r="R33" s="11">
        <v>4206.4125000000004</v>
      </c>
      <c r="S33" s="11">
        <v>4206.4125000000004</v>
      </c>
      <c r="T33" s="11">
        <v>4062.7214490000001</v>
      </c>
      <c r="U33" s="11">
        <v>3935.1830220000002</v>
      </c>
      <c r="W33" s="32" t="s">
        <v>56</v>
      </c>
      <c r="X33" s="13">
        <v>267119.45287000004</v>
      </c>
      <c r="Y33" s="13">
        <v>249586.95086200003</v>
      </c>
      <c r="Z33" s="13">
        <v>229214.67740200006</v>
      </c>
      <c r="AA33" s="13">
        <v>208132.461079</v>
      </c>
      <c r="AB33" s="13">
        <v>183500.53044099998</v>
      </c>
      <c r="AC33" s="13">
        <v>183500.53044099998</v>
      </c>
      <c r="AD33" s="13">
        <v>305085.96249999997</v>
      </c>
      <c r="AE33" s="13">
        <v>305085.96249999997</v>
      </c>
      <c r="AF33" s="13">
        <v>305085.96249999997</v>
      </c>
      <c r="AG33" s="13">
        <v>305085.96249999997</v>
      </c>
      <c r="AH33" s="13">
        <v>291905.71891300008</v>
      </c>
      <c r="AI33" s="13">
        <v>280207.09521400003</v>
      </c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>
        <v>267119.45287000004</v>
      </c>
      <c r="AW33" s="13">
        <v>249586.95086200003</v>
      </c>
      <c r="AX33" s="13">
        <v>229214.67740200006</v>
      </c>
      <c r="AY33" s="13">
        <v>208132.461079</v>
      </c>
      <c r="AZ33" s="13">
        <v>183500.53044099998</v>
      </c>
      <c r="BA33" s="13">
        <v>183500.53044099998</v>
      </c>
      <c r="BB33" s="13">
        <v>305085.96249999997</v>
      </c>
      <c r="BC33" s="13">
        <v>305085.96249999997</v>
      </c>
      <c r="BD33" s="13">
        <v>305085.96249999997</v>
      </c>
      <c r="BE33" s="13">
        <v>305085.96249999997</v>
      </c>
      <c r="BF33" s="13">
        <v>291905.71891300008</v>
      </c>
      <c r="BG33" s="13">
        <v>280207.09521400003</v>
      </c>
    </row>
    <row r="34" spans="1:59" x14ac:dyDescent="0.25">
      <c r="A34" s="8">
        <v>32</v>
      </c>
      <c r="B34" s="8">
        <v>19.992000000000001</v>
      </c>
      <c r="C34" s="8">
        <v>84.973600000000005</v>
      </c>
      <c r="D34" s="8" t="s">
        <v>7</v>
      </c>
      <c r="E34" s="8" t="s">
        <v>93</v>
      </c>
      <c r="F34" s="21">
        <v>3</v>
      </c>
      <c r="G34" s="8">
        <v>2199.67</v>
      </c>
      <c r="H34" s="11" t="s">
        <v>126</v>
      </c>
      <c r="I34" s="11">
        <v>2.75</v>
      </c>
      <c r="J34" s="11">
        <v>5237.4142700000011</v>
      </c>
      <c r="K34" s="11">
        <v>4862.590502</v>
      </c>
      <c r="L34" s="11">
        <v>4427.0558419999998</v>
      </c>
      <c r="M34" s="11">
        <v>3976.3434590000002</v>
      </c>
      <c r="N34" s="11">
        <v>3449.7424610000003</v>
      </c>
      <c r="O34" s="11">
        <v>3449.7424610000003</v>
      </c>
      <c r="P34" s="11">
        <v>6049.0925000000007</v>
      </c>
      <c r="Q34" s="11">
        <v>6049.0925000000007</v>
      </c>
      <c r="R34" s="11">
        <v>6049.0925000000007</v>
      </c>
      <c r="S34" s="11">
        <v>6049.0925000000007</v>
      </c>
      <c r="T34" s="11">
        <v>5767.3147730000001</v>
      </c>
      <c r="U34" s="11">
        <v>5517.2122939999999</v>
      </c>
      <c r="W34" s="32" t="s">
        <v>99</v>
      </c>
      <c r="X34" s="13">
        <v>3622916.8072400005</v>
      </c>
      <c r="Y34" s="13">
        <v>3401980.4204239994</v>
      </c>
      <c r="Z34" s="13">
        <v>3145258.562504</v>
      </c>
      <c r="AA34" s="13">
        <v>2879590.3368079998</v>
      </c>
      <c r="AB34" s="13">
        <v>2569190.2722320003</v>
      </c>
      <c r="AC34" s="13">
        <v>2569190.2722320003</v>
      </c>
      <c r="AD34" s="13">
        <v>4101352.9969999995</v>
      </c>
      <c r="AE34" s="13">
        <v>4101352.9969999995</v>
      </c>
      <c r="AF34" s="13">
        <v>4101352.9969999995</v>
      </c>
      <c r="AG34" s="13">
        <v>4101352.9969999995</v>
      </c>
      <c r="AH34" s="13">
        <v>3935261.7343760002</v>
      </c>
      <c r="AI34" s="13">
        <v>3787841.1523280004</v>
      </c>
      <c r="AJ34" s="13">
        <v>7681.3788935000011</v>
      </c>
      <c r="AK34" s="13">
        <v>5837.6230330999997</v>
      </c>
      <c r="AL34" s="13">
        <v>3695.2306600999996</v>
      </c>
      <c r="AM34" s="13">
        <v>2190.1449676399998</v>
      </c>
      <c r="AN34" s="13">
        <v>486.14527556000019</v>
      </c>
      <c r="AO34" s="13">
        <v>486.14527556000019</v>
      </c>
      <c r="AP34" s="13">
        <v>12290.4256805</v>
      </c>
      <c r="AQ34" s="13">
        <v>12290.4256805</v>
      </c>
      <c r="AR34" s="13">
        <v>12290.4256805</v>
      </c>
      <c r="AS34" s="13">
        <v>12290.4256805</v>
      </c>
      <c r="AT34" s="13">
        <v>10587.139863430002</v>
      </c>
      <c r="AU34" s="13">
        <v>9077.8292475399976</v>
      </c>
      <c r="AV34" s="13">
        <v>3630598.1861335002</v>
      </c>
      <c r="AW34" s="13">
        <v>3407818.0434571002</v>
      </c>
      <c r="AX34" s="13">
        <v>3148953.7931640996</v>
      </c>
      <c r="AY34" s="13">
        <v>2881780.48177564</v>
      </c>
      <c r="AZ34" s="13">
        <v>2569676.41750756</v>
      </c>
      <c r="BA34" s="13">
        <v>2569676.41750756</v>
      </c>
      <c r="BB34" s="13">
        <v>4113643.4226804995</v>
      </c>
      <c r="BC34" s="13">
        <v>4113643.4226804995</v>
      </c>
      <c r="BD34" s="13">
        <v>4113643.4226804995</v>
      </c>
      <c r="BE34" s="13">
        <v>4113643.4226804995</v>
      </c>
      <c r="BF34" s="13">
        <v>3945848.8742394308</v>
      </c>
      <c r="BG34" s="13">
        <v>3796918.9815755398</v>
      </c>
    </row>
    <row r="35" spans="1:59" x14ac:dyDescent="0.25">
      <c r="A35" s="8">
        <v>33</v>
      </c>
      <c r="B35" s="8">
        <v>19.992599999999999</v>
      </c>
      <c r="C35" s="8">
        <v>84.973100000000002</v>
      </c>
      <c r="D35" s="8" t="s">
        <v>7</v>
      </c>
      <c r="E35" s="8" t="s">
        <v>93</v>
      </c>
      <c r="F35" s="21">
        <v>3</v>
      </c>
      <c r="G35" s="8">
        <v>877.95</v>
      </c>
      <c r="H35" s="11" t="s">
        <v>126</v>
      </c>
      <c r="I35" s="11">
        <v>2.75</v>
      </c>
      <c r="J35" s="11">
        <v>2090.3989500000002</v>
      </c>
      <c r="K35" s="11">
        <v>1940.79627</v>
      </c>
      <c r="L35" s="11">
        <v>1766.96217</v>
      </c>
      <c r="M35" s="11">
        <v>1587.0702150000002</v>
      </c>
      <c r="N35" s="11">
        <v>1376.888985</v>
      </c>
      <c r="O35" s="11">
        <v>1376.888985</v>
      </c>
      <c r="P35" s="11">
        <v>2414.3625000000002</v>
      </c>
      <c r="Q35" s="11">
        <v>2414.3625000000002</v>
      </c>
      <c r="R35" s="11">
        <v>2414.3625000000002</v>
      </c>
      <c r="S35" s="11">
        <v>2414.3625000000002</v>
      </c>
      <c r="T35" s="11">
        <v>2301.897105</v>
      </c>
      <c r="U35" s="11">
        <v>2202.0741900000003</v>
      </c>
    </row>
    <row r="36" spans="1:59" x14ac:dyDescent="0.25">
      <c r="A36" s="8">
        <v>34</v>
      </c>
      <c r="B36" s="8">
        <v>20.0106</v>
      </c>
      <c r="C36" s="8">
        <v>84.970299999999995</v>
      </c>
      <c r="D36" s="8" t="s">
        <v>7</v>
      </c>
      <c r="E36" s="8" t="s">
        <v>93</v>
      </c>
      <c r="F36" s="21">
        <v>2</v>
      </c>
      <c r="G36" s="8">
        <v>1969.51</v>
      </c>
      <c r="H36" s="11" t="s">
        <v>126</v>
      </c>
      <c r="I36" s="11">
        <v>1.75</v>
      </c>
      <c r="J36" s="11">
        <v>2719.8933099999999</v>
      </c>
      <c r="K36" s="11">
        <v>2384.2888059999996</v>
      </c>
      <c r="L36" s="11">
        <v>1994.3258259999998</v>
      </c>
      <c r="M36" s="11">
        <v>1590.7732269999999</v>
      </c>
      <c r="N36" s="11">
        <v>1119.2725330000001</v>
      </c>
      <c r="O36" s="11">
        <v>1119.2725330000001</v>
      </c>
      <c r="P36" s="11">
        <v>3446.6424999999999</v>
      </c>
      <c r="Q36" s="11">
        <v>3446.6424999999999</v>
      </c>
      <c r="R36" s="11">
        <v>3446.6424999999999</v>
      </c>
      <c r="S36" s="11">
        <v>3446.6424999999999</v>
      </c>
      <c r="T36" s="11">
        <v>3194.3482690000001</v>
      </c>
      <c r="U36" s="11">
        <v>2970.4149819999998</v>
      </c>
    </row>
    <row r="37" spans="1:59" x14ac:dyDescent="0.25">
      <c r="A37" s="8">
        <v>35</v>
      </c>
      <c r="B37" s="8">
        <v>20.008700000000001</v>
      </c>
      <c r="C37" s="8">
        <v>84.973600000000005</v>
      </c>
      <c r="D37" s="8" t="s">
        <v>7</v>
      </c>
      <c r="E37" s="8" t="s">
        <v>93</v>
      </c>
      <c r="F37" s="21">
        <v>2</v>
      </c>
      <c r="G37" s="8">
        <v>1962.42</v>
      </c>
      <c r="H37" s="11" t="s">
        <v>55</v>
      </c>
      <c r="I37" s="11">
        <v>1.75</v>
      </c>
      <c r="J37" s="11">
        <v>2710.1020200000003</v>
      </c>
      <c r="K37" s="11">
        <v>2375.7056520000001</v>
      </c>
      <c r="L37" s="11">
        <v>1987.1464919999999</v>
      </c>
      <c r="M37" s="11">
        <v>1585.046634</v>
      </c>
      <c r="N37" s="11">
        <v>1115.2432860000001</v>
      </c>
      <c r="O37" s="11">
        <v>1115.2432860000001</v>
      </c>
      <c r="P37" s="11">
        <v>3434.2350000000001</v>
      </c>
      <c r="Q37" s="11">
        <v>3434.2350000000001</v>
      </c>
      <c r="R37" s="11">
        <v>3434.2350000000001</v>
      </c>
      <c r="S37" s="11">
        <v>3434.2350000000001</v>
      </c>
      <c r="T37" s="11">
        <v>3182.8489980000004</v>
      </c>
      <c r="U37" s="11">
        <v>2959.7218440000001</v>
      </c>
    </row>
    <row r="38" spans="1:59" x14ac:dyDescent="0.25">
      <c r="A38" s="8">
        <v>36</v>
      </c>
      <c r="B38" s="8">
        <v>20.011600000000001</v>
      </c>
      <c r="C38" s="8">
        <v>84.975899999999996</v>
      </c>
      <c r="D38" s="8" t="s">
        <v>7</v>
      </c>
      <c r="E38" s="8" t="s">
        <v>93</v>
      </c>
      <c r="F38" s="21">
        <v>3</v>
      </c>
      <c r="G38" s="8">
        <v>2145.2800000000002</v>
      </c>
      <c r="H38" s="11" t="s">
        <v>55</v>
      </c>
      <c r="I38" s="11">
        <v>2.75</v>
      </c>
      <c r="J38" s="11">
        <v>5107.9116800000011</v>
      </c>
      <c r="K38" s="11">
        <v>4742.3559679999998</v>
      </c>
      <c r="L38" s="11">
        <v>4317.5905280000006</v>
      </c>
      <c r="M38" s="11">
        <v>3878.0226560000006</v>
      </c>
      <c r="N38" s="11">
        <v>3364.4426240000003</v>
      </c>
      <c r="O38" s="11">
        <v>3364.4426240000003</v>
      </c>
      <c r="P38" s="11">
        <v>5899.52</v>
      </c>
      <c r="Q38" s="11">
        <v>5899.52</v>
      </c>
      <c r="R38" s="11">
        <v>5899.52</v>
      </c>
      <c r="S38" s="11">
        <v>5899.52</v>
      </c>
      <c r="T38" s="11">
        <v>5624.709632000001</v>
      </c>
      <c r="U38" s="11">
        <v>5380.7912960000003</v>
      </c>
    </row>
    <row r="39" spans="1:59" x14ac:dyDescent="0.25">
      <c r="A39" s="8">
        <v>37</v>
      </c>
      <c r="B39" s="8">
        <v>20.010300000000001</v>
      </c>
      <c r="C39" s="8">
        <v>84.975499999999997</v>
      </c>
      <c r="D39" s="8" t="s">
        <v>7</v>
      </c>
      <c r="E39" s="8" t="s">
        <v>93</v>
      </c>
      <c r="F39" s="21">
        <v>2</v>
      </c>
      <c r="G39" s="8">
        <v>757.34</v>
      </c>
      <c r="H39" s="11" t="s">
        <v>55</v>
      </c>
      <c r="I39" s="11">
        <v>1.75</v>
      </c>
      <c r="J39" s="11">
        <v>1045.88654</v>
      </c>
      <c r="K39" s="11">
        <v>916.83580399999994</v>
      </c>
      <c r="L39" s="11">
        <v>766.88248399999998</v>
      </c>
      <c r="M39" s="11">
        <v>611.70351800000003</v>
      </c>
      <c r="N39" s="11">
        <v>430.39632200000005</v>
      </c>
      <c r="O39" s="11">
        <v>430.39632200000005</v>
      </c>
      <c r="P39" s="11">
        <v>1325.345</v>
      </c>
      <c r="Q39" s="11">
        <v>1325.345</v>
      </c>
      <c r="R39" s="11">
        <v>1325.345</v>
      </c>
      <c r="S39" s="11">
        <v>1325.345</v>
      </c>
      <c r="T39" s="11">
        <v>1228.3297460000001</v>
      </c>
      <c r="U39" s="11">
        <v>1142.220188</v>
      </c>
    </row>
    <row r="40" spans="1:59" x14ac:dyDescent="0.25">
      <c r="A40" s="8">
        <v>38</v>
      </c>
      <c r="B40" s="8">
        <v>20.019300000000001</v>
      </c>
      <c r="C40" s="8">
        <v>84.973200000000006</v>
      </c>
      <c r="D40" s="8" t="s">
        <v>7</v>
      </c>
      <c r="E40" s="8" t="s">
        <v>93</v>
      </c>
      <c r="F40" s="21">
        <v>3</v>
      </c>
      <c r="G40" s="8">
        <v>5322.6</v>
      </c>
      <c r="H40" s="11" t="s">
        <v>126</v>
      </c>
      <c r="I40" s="11">
        <v>2.75</v>
      </c>
      <c r="J40" s="11">
        <v>12673.110600000002</v>
      </c>
      <c r="K40" s="11">
        <v>11766.13956</v>
      </c>
      <c r="L40" s="11">
        <v>10712.26476</v>
      </c>
      <c r="M40" s="11">
        <v>9621.664020000002</v>
      </c>
      <c r="N40" s="11">
        <v>8347.4335800000008</v>
      </c>
      <c r="O40" s="11">
        <v>8347.4335800000008</v>
      </c>
      <c r="P40" s="11">
        <v>14637.150000000001</v>
      </c>
      <c r="Q40" s="11">
        <v>14637.150000000001</v>
      </c>
      <c r="R40" s="11">
        <v>14637.150000000001</v>
      </c>
      <c r="S40" s="11">
        <v>14637.150000000001</v>
      </c>
      <c r="T40" s="11">
        <v>13955.324940000002</v>
      </c>
      <c r="U40" s="11">
        <v>13350.145320000001</v>
      </c>
    </row>
    <row r="41" spans="1:59" x14ac:dyDescent="0.25">
      <c r="A41" s="8">
        <v>39</v>
      </c>
      <c r="B41" s="8">
        <v>20.0396</v>
      </c>
      <c r="C41" s="8">
        <v>84.975200000000001</v>
      </c>
      <c r="D41" s="8" t="s">
        <v>7</v>
      </c>
      <c r="E41" s="8" t="s">
        <v>93</v>
      </c>
      <c r="F41" s="21">
        <v>2</v>
      </c>
      <c r="G41" s="8">
        <v>385.63</v>
      </c>
      <c r="H41" s="11" t="s">
        <v>55</v>
      </c>
      <c r="I41" s="11">
        <v>1.75</v>
      </c>
      <c r="J41" s="11">
        <v>532.55502999999999</v>
      </c>
      <c r="K41" s="11">
        <v>466.84367799999995</v>
      </c>
      <c r="L41" s="11">
        <v>390.48893799999996</v>
      </c>
      <c r="M41" s="11">
        <v>311.47335099999998</v>
      </c>
      <c r="N41" s="11">
        <v>219.15352900000002</v>
      </c>
      <c r="O41" s="11">
        <v>219.15352900000002</v>
      </c>
      <c r="P41" s="11">
        <v>674.85249999999996</v>
      </c>
      <c r="Q41" s="11">
        <v>674.85249999999996</v>
      </c>
      <c r="R41" s="11">
        <v>674.85249999999996</v>
      </c>
      <c r="S41" s="11">
        <v>674.85249999999996</v>
      </c>
      <c r="T41" s="11">
        <v>625.45329700000002</v>
      </c>
      <c r="U41" s="11">
        <v>581.60716600000001</v>
      </c>
    </row>
    <row r="42" spans="1:59" x14ac:dyDescent="0.25">
      <c r="A42" s="8">
        <v>40</v>
      </c>
      <c r="B42" s="8">
        <v>20.0318</v>
      </c>
      <c r="C42" s="8">
        <v>84.976699999999994</v>
      </c>
      <c r="D42" s="8" t="s">
        <v>7</v>
      </c>
      <c r="E42" s="8" t="s">
        <v>93</v>
      </c>
      <c r="F42" s="21">
        <v>2</v>
      </c>
      <c r="G42" s="8">
        <v>343.77</v>
      </c>
      <c r="H42" s="11" t="s">
        <v>55</v>
      </c>
      <c r="I42" s="11">
        <v>1.75</v>
      </c>
      <c r="J42" s="11">
        <v>474.74636999999996</v>
      </c>
      <c r="K42" s="11">
        <v>416.16796199999993</v>
      </c>
      <c r="L42" s="11">
        <v>348.10150199999998</v>
      </c>
      <c r="M42" s="11">
        <v>277.66302899999999</v>
      </c>
      <c r="N42" s="11">
        <v>195.36449099999999</v>
      </c>
      <c r="O42" s="11">
        <v>195.36449099999999</v>
      </c>
      <c r="P42" s="11">
        <v>601.59749999999997</v>
      </c>
      <c r="Q42" s="11">
        <v>601.59749999999997</v>
      </c>
      <c r="R42" s="11">
        <v>601.59749999999997</v>
      </c>
      <c r="S42" s="11">
        <v>601.59749999999997</v>
      </c>
      <c r="T42" s="11">
        <v>557.560563</v>
      </c>
      <c r="U42" s="11">
        <v>518.47391399999992</v>
      </c>
    </row>
    <row r="43" spans="1:59" x14ac:dyDescent="0.25">
      <c r="A43" s="8">
        <v>41</v>
      </c>
      <c r="B43" s="8">
        <v>20.0258</v>
      </c>
      <c r="C43" s="8">
        <v>84.972899999999996</v>
      </c>
      <c r="D43" s="8" t="s">
        <v>7</v>
      </c>
      <c r="E43" s="8" t="s">
        <v>93</v>
      </c>
      <c r="F43" s="21">
        <v>4</v>
      </c>
      <c r="G43" s="8">
        <v>1412.6</v>
      </c>
      <c r="H43" s="11" t="s">
        <v>126</v>
      </c>
      <c r="I43" s="11">
        <v>3.75</v>
      </c>
      <c r="J43" s="11">
        <v>4776.0006000000003</v>
      </c>
      <c r="K43" s="11">
        <v>4535.2935599999992</v>
      </c>
      <c r="L43" s="11">
        <v>4255.5987599999999</v>
      </c>
      <c r="M43" s="11">
        <v>3966.1570199999996</v>
      </c>
      <c r="N43" s="11">
        <v>3627.9805799999995</v>
      </c>
      <c r="O43" s="11">
        <v>3627.9805799999995</v>
      </c>
      <c r="P43" s="11">
        <v>5297.25</v>
      </c>
      <c r="Q43" s="11">
        <v>5297.25</v>
      </c>
      <c r="R43" s="11">
        <v>5297.25</v>
      </c>
      <c r="S43" s="11">
        <v>5297.25</v>
      </c>
      <c r="T43" s="11">
        <v>5116.29594</v>
      </c>
      <c r="U43" s="11">
        <v>4955.6833200000001</v>
      </c>
    </row>
    <row r="44" spans="1:59" x14ac:dyDescent="0.25">
      <c r="A44" s="8">
        <v>42</v>
      </c>
      <c r="B44" s="8">
        <v>20.020099999999999</v>
      </c>
      <c r="C44" s="8">
        <v>84.978800000000007</v>
      </c>
      <c r="D44" s="8" t="s">
        <v>7</v>
      </c>
      <c r="E44" s="8" t="s">
        <v>93</v>
      </c>
      <c r="F44" s="21">
        <v>2</v>
      </c>
      <c r="G44" s="8">
        <v>1584.45</v>
      </c>
      <c r="H44" s="11" t="s">
        <v>55</v>
      </c>
      <c r="I44" s="11">
        <v>1.75</v>
      </c>
      <c r="J44" s="11">
        <v>2188.12545</v>
      </c>
      <c r="K44" s="11">
        <v>1918.1351699999998</v>
      </c>
      <c r="L44" s="11">
        <v>1604.41407</v>
      </c>
      <c r="M44" s="11">
        <v>1279.7602649999999</v>
      </c>
      <c r="N44" s="11">
        <v>900.44293500000003</v>
      </c>
      <c r="O44" s="11">
        <v>900.44293500000003</v>
      </c>
      <c r="P44" s="11">
        <v>2772.7874999999999</v>
      </c>
      <c r="Q44" s="11">
        <v>2772.7874999999999</v>
      </c>
      <c r="R44" s="11">
        <v>2772.7874999999999</v>
      </c>
      <c r="S44" s="11">
        <v>2772.7874999999999</v>
      </c>
      <c r="T44" s="11">
        <v>2569.8194550000003</v>
      </c>
      <c r="U44" s="11">
        <v>2389.6674900000003</v>
      </c>
    </row>
    <row r="45" spans="1:59" x14ac:dyDescent="0.25">
      <c r="A45" s="8">
        <v>43</v>
      </c>
      <c r="B45" s="8">
        <v>20.014199999999999</v>
      </c>
      <c r="C45" s="8">
        <v>84.985299999999995</v>
      </c>
      <c r="D45" s="8" t="s">
        <v>7</v>
      </c>
      <c r="E45" s="8" t="s">
        <v>93</v>
      </c>
      <c r="F45" s="21">
        <v>4</v>
      </c>
      <c r="G45" s="8">
        <v>2414.85</v>
      </c>
      <c r="H45" s="11" t="s">
        <v>57</v>
      </c>
      <c r="I45" s="11">
        <v>3.75</v>
      </c>
      <c r="J45" s="11">
        <v>8164.6078500000003</v>
      </c>
      <c r="K45" s="11">
        <v>7753.1174099999998</v>
      </c>
      <c r="L45" s="11">
        <v>7274.9771099999998</v>
      </c>
      <c r="M45" s="11">
        <v>6780.1743450000004</v>
      </c>
      <c r="N45" s="11">
        <v>6202.0592549999992</v>
      </c>
      <c r="O45" s="11">
        <v>6202.0592549999992</v>
      </c>
      <c r="P45" s="11">
        <v>9055.6875</v>
      </c>
      <c r="Q45" s="11">
        <v>9055.6875</v>
      </c>
      <c r="R45" s="11">
        <v>9055.6875</v>
      </c>
      <c r="S45" s="11">
        <v>9055.6875</v>
      </c>
      <c r="T45" s="11">
        <v>8746.3452149999994</v>
      </c>
      <c r="U45" s="11">
        <v>8471.7767700000004</v>
      </c>
    </row>
    <row r="46" spans="1:59" x14ac:dyDescent="0.25">
      <c r="A46" s="8">
        <v>44</v>
      </c>
      <c r="B46" s="8">
        <v>20.017099999999999</v>
      </c>
      <c r="C46" s="8">
        <v>84.983500000000006</v>
      </c>
      <c r="D46" s="8" t="s">
        <v>7</v>
      </c>
      <c r="E46" s="8" t="s">
        <v>93</v>
      </c>
      <c r="F46" s="21">
        <v>2</v>
      </c>
      <c r="G46" s="8">
        <v>426.4</v>
      </c>
      <c r="H46" s="11" t="s">
        <v>57</v>
      </c>
      <c r="I46" s="11">
        <v>1.75</v>
      </c>
      <c r="J46" s="11">
        <v>588.85839999999996</v>
      </c>
      <c r="K46" s="11">
        <v>516.19983999999988</v>
      </c>
      <c r="L46" s="11">
        <v>431.77263999999997</v>
      </c>
      <c r="M46" s="11">
        <v>344.40328</v>
      </c>
      <c r="N46" s="11">
        <v>242.32311999999999</v>
      </c>
      <c r="O46" s="11">
        <v>242.32311999999999</v>
      </c>
      <c r="P46" s="11">
        <v>746.19999999999993</v>
      </c>
      <c r="Q46" s="11">
        <v>746.19999999999993</v>
      </c>
      <c r="R46" s="11">
        <v>746.19999999999993</v>
      </c>
      <c r="S46" s="11">
        <v>746.19999999999993</v>
      </c>
      <c r="T46" s="11">
        <v>691.57816000000003</v>
      </c>
      <c r="U46" s="11">
        <v>643.09647999999993</v>
      </c>
    </row>
    <row r="47" spans="1:59" x14ac:dyDescent="0.25">
      <c r="A47" s="8">
        <v>45</v>
      </c>
      <c r="B47" s="8">
        <v>20.020299999999999</v>
      </c>
      <c r="C47" s="8">
        <v>84.981099999999998</v>
      </c>
      <c r="D47" s="8" t="s">
        <v>7</v>
      </c>
      <c r="E47" s="8" t="s">
        <v>93</v>
      </c>
      <c r="F47" s="21">
        <v>2</v>
      </c>
      <c r="G47" s="8">
        <v>1361.72</v>
      </c>
      <c r="H47" s="11" t="s">
        <v>57</v>
      </c>
      <c r="I47" s="11">
        <v>1.75</v>
      </c>
      <c r="J47" s="11">
        <v>1880.53532</v>
      </c>
      <c r="K47" s="11">
        <v>1648.4982319999999</v>
      </c>
      <c r="L47" s="11">
        <v>1378.8776719999998</v>
      </c>
      <c r="M47" s="11">
        <v>1099.8612439999999</v>
      </c>
      <c r="N47" s="11">
        <v>773.86547600000006</v>
      </c>
      <c r="O47" s="11">
        <v>773.86547600000006</v>
      </c>
      <c r="P47" s="11">
        <v>2383.0100000000002</v>
      </c>
      <c r="Q47" s="11">
        <v>2383.0100000000002</v>
      </c>
      <c r="R47" s="11">
        <v>2383.0100000000002</v>
      </c>
      <c r="S47" s="11">
        <v>2383.0100000000002</v>
      </c>
      <c r="T47" s="11">
        <v>2208.573668</v>
      </c>
      <c r="U47" s="11">
        <v>2053.7461039999998</v>
      </c>
    </row>
    <row r="48" spans="1:59" x14ac:dyDescent="0.25">
      <c r="A48" s="8">
        <v>46</v>
      </c>
      <c r="B48" s="8">
        <v>20.027000000000001</v>
      </c>
      <c r="C48" s="8">
        <v>84.984499999999997</v>
      </c>
      <c r="D48" s="8" t="s">
        <v>7</v>
      </c>
      <c r="E48" s="8" t="s">
        <v>93</v>
      </c>
      <c r="F48" s="21">
        <v>3</v>
      </c>
      <c r="G48" s="8">
        <v>6139.81</v>
      </c>
      <c r="H48" s="11" t="s">
        <v>57</v>
      </c>
      <c r="I48" s="11">
        <v>2.75</v>
      </c>
      <c r="J48" s="11">
        <v>14618.887610000002</v>
      </c>
      <c r="K48" s="11">
        <v>13572.663986</v>
      </c>
      <c r="L48" s="11">
        <v>12356.981606000001</v>
      </c>
      <c r="M48" s="11">
        <v>11098.934537000001</v>
      </c>
      <c r="N48" s="11">
        <v>9629.0640230000008</v>
      </c>
      <c r="O48" s="11">
        <v>9629.0640230000008</v>
      </c>
      <c r="P48" s="11">
        <v>16884.477500000001</v>
      </c>
      <c r="Q48" s="11">
        <v>16884.477500000001</v>
      </c>
      <c r="R48" s="11">
        <v>16884.477500000001</v>
      </c>
      <c r="S48" s="11">
        <v>16884.477500000001</v>
      </c>
      <c r="T48" s="11">
        <v>16097.967839000003</v>
      </c>
      <c r="U48" s="11">
        <v>15399.871442000001</v>
      </c>
    </row>
    <row r="49" spans="1:21" x14ac:dyDescent="0.25">
      <c r="A49" s="8">
        <v>47</v>
      </c>
      <c r="B49" s="8">
        <v>20.029800000000002</v>
      </c>
      <c r="C49" s="8">
        <v>84.991799999999998</v>
      </c>
      <c r="D49" s="8" t="s">
        <v>7</v>
      </c>
      <c r="E49" s="8" t="s">
        <v>93</v>
      </c>
      <c r="F49" s="21">
        <v>4</v>
      </c>
      <c r="G49" s="8">
        <v>3819.1</v>
      </c>
      <c r="H49" s="11" t="s">
        <v>57</v>
      </c>
      <c r="I49" s="11">
        <v>3.75</v>
      </c>
      <c r="J49" s="11">
        <v>12912.3771</v>
      </c>
      <c r="K49" s="11">
        <v>12261.60246</v>
      </c>
      <c r="L49" s="11">
        <v>11505.42066</v>
      </c>
      <c r="M49" s="11">
        <v>10722.887070000001</v>
      </c>
      <c r="N49" s="11">
        <v>9808.5945299999985</v>
      </c>
      <c r="O49" s="11">
        <v>9808.5945299999985</v>
      </c>
      <c r="P49" s="11">
        <v>14321.625</v>
      </c>
      <c r="Q49" s="11">
        <v>14321.625</v>
      </c>
      <c r="R49" s="11">
        <v>14321.625</v>
      </c>
      <c r="S49" s="11">
        <v>14321.625</v>
      </c>
      <c r="T49" s="11">
        <v>13832.398290000001</v>
      </c>
      <c r="U49" s="11">
        <v>13398.16662</v>
      </c>
    </row>
    <row r="50" spans="1:21" x14ac:dyDescent="0.25">
      <c r="A50" s="8">
        <v>48</v>
      </c>
      <c r="B50" s="8">
        <v>20.0319</v>
      </c>
      <c r="C50" s="8">
        <v>84.992000000000004</v>
      </c>
      <c r="D50" s="8" t="s">
        <v>7</v>
      </c>
      <c r="E50" s="8" t="s">
        <v>93</v>
      </c>
      <c r="F50" s="21">
        <v>4</v>
      </c>
      <c r="G50" s="8">
        <v>4273.8500000000004</v>
      </c>
      <c r="H50" s="11" t="s">
        <v>57</v>
      </c>
      <c r="I50" s="11">
        <v>3.75</v>
      </c>
      <c r="J50" s="11">
        <v>14449.886850000003</v>
      </c>
      <c r="K50" s="11">
        <v>13721.622810000001</v>
      </c>
      <c r="L50" s="11">
        <v>12875.400510000001</v>
      </c>
      <c r="M50" s="11">
        <v>11999.688645000002</v>
      </c>
      <c r="N50" s="11">
        <v>10976.528955</v>
      </c>
      <c r="O50" s="11">
        <v>10976.528955</v>
      </c>
      <c r="P50" s="11">
        <v>16026.937500000002</v>
      </c>
      <c r="Q50" s="11">
        <v>16026.937500000002</v>
      </c>
      <c r="R50" s="11">
        <v>16026.937500000002</v>
      </c>
      <c r="S50" s="11">
        <v>16026.937500000002</v>
      </c>
      <c r="T50" s="11">
        <v>15479.457315000001</v>
      </c>
      <c r="U50" s="11">
        <v>14993.520570000001</v>
      </c>
    </row>
    <row r="51" spans="1:21" x14ac:dyDescent="0.25">
      <c r="A51" s="8">
        <v>49</v>
      </c>
      <c r="B51" s="8">
        <v>20.033300000000001</v>
      </c>
      <c r="C51" s="8">
        <v>84.991600000000005</v>
      </c>
      <c r="D51" s="8" t="s">
        <v>7</v>
      </c>
      <c r="E51" s="8" t="s">
        <v>93</v>
      </c>
      <c r="F51" s="21">
        <v>4</v>
      </c>
      <c r="G51" s="8">
        <v>1605.13</v>
      </c>
      <c r="H51" s="11" t="s">
        <v>57</v>
      </c>
      <c r="I51" s="11">
        <v>3.75</v>
      </c>
      <c r="J51" s="11">
        <v>5426.9445300000007</v>
      </c>
      <c r="K51" s="11">
        <v>5153.430378</v>
      </c>
      <c r="L51" s="11">
        <v>4835.614638</v>
      </c>
      <c r="M51" s="11">
        <v>4506.7235010000004</v>
      </c>
      <c r="N51" s="11">
        <v>4122.455379</v>
      </c>
      <c r="O51" s="11">
        <v>4122.455379</v>
      </c>
      <c r="P51" s="11">
        <v>6019.2375000000002</v>
      </c>
      <c r="Q51" s="11">
        <v>6019.2375000000002</v>
      </c>
      <c r="R51" s="11">
        <v>6019.2375000000002</v>
      </c>
      <c r="S51" s="11">
        <v>6019.2375000000002</v>
      </c>
      <c r="T51" s="11">
        <v>5813.6203470000009</v>
      </c>
      <c r="U51" s="11">
        <v>5631.1170660000007</v>
      </c>
    </row>
    <row r="52" spans="1:21" x14ac:dyDescent="0.25">
      <c r="A52" s="8">
        <v>50</v>
      </c>
      <c r="B52" s="8">
        <v>20.033100000000001</v>
      </c>
      <c r="C52" s="8">
        <v>85.001199999999997</v>
      </c>
      <c r="D52" s="8" t="s">
        <v>7</v>
      </c>
      <c r="E52" s="8" t="s">
        <v>93</v>
      </c>
      <c r="F52" s="21">
        <v>4</v>
      </c>
      <c r="G52" s="8">
        <v>3287.38</v>
      </c>
      <c r="H52" s="11" t="s">
        <v>57</v>
      </c>
      <c r="I52" s="11">
        <v>3.75</v>
      </c>
      <c r="J52" s="11">
        <v>11114.631780000002</v>
      </c>
      <c r="K52" s="11">
        <v>10554.462228</v>
      </c>
      <c r="L52" s="11">
        <v>9903.5609879999993</v>
      </c>
      <c r="M52" s="11">
        <v>9229.9768260000001</v>
      </c>
      <c r="N52" s="11">
        <v>8442.9780539999992</v>
      </c>
      <c r="O52" s="11">
        <v>8442.9780539999992</v>
      </c>
      <c r="P52" s="11">
        <v>12327.675000000001</v>
      </c>
      <c r="Q52" s="11">
        <v>12327.675000000001</v>
      </c>
      <c r="R52" s="11">
        <v>12327.675000000001</v>
      </c>
      <c r="S52" s="11">
        <v>12327.675000000001</v>
      </c>
      <c r="T52" s="11">
        <v>11906.561622000001</v>
      </c>
      <c r="U52" s="11">
        <v>11532.786516</v>
      </c>
    </row>
    <row r="53" spans="1:21" x14ac:dyDescent="0.25">
      <c r="A53" s="8">
        <v>51</v>
      </c>
      <c r="B53" s="8">
        <v>20.032</v>
      </c>
      <c r="C53" s="8">
        <v>85.004199999999997</v>
      </c>
      <c r="D53" s="8" t="s">
        <v>7</v>
      </c>
      <c r="E53" s="8" t="s">
        <v>93</v>
      </c>
      <c r="F53" s="21">
        <v>4</v>
      </c>
      <c r="G53" s="8">
        <v>6680.23</v>
      </c>
      <c r="H53" s="11" t="s">
        <v>57</v>
      </c>
      <c r="I53" s="11">
        <v>3.75</v>
      </c>
      <c r="J53" s="11">
        <v>22585.857629999999</v>
      </c>
      <c r="K53" s="11">
        <v>21447.546437999998</v>
      </c>
      <c r="L53" s="11">
        <v>20124.860897999999</v>
      </c>
      <c r="M53" s="11">
        <v>18756.081771000001</v>
      </c>
      <c r="N53" s="11">
        <v>17156.834708999999</v>
      </c>
      <c r="O53" s="11">
        <v>17156.834708999999</v>
      </c>
      <c r="P53" s="11">
        <v>25050.862499999999</v>
      </c>
      <c r="Q53" s="11">
        <v>25050.862499999999</v>
      </c>
      <c r="R53" s="11">
        <v>25050.862499999999</v>
      </c>
      <c r="S53" s="11">
        <v>25050.862499999999</v>
      </c>
      <c r="T53" s="11">
        <v>24195.125036999998</v>
      </c>
      <c r="U53" s="11">
        <v>23435.582886</v>
      </c>
    </row>
    <row r="54" spans="1:21" x14ac:dyDescent="0.25">
      <c r="A54" s="8">
        <v>52</v>
      </c>
      <c r="B54" s="8">
        <v>20.032299999999999</v>
      </c>
      <c r="C54" s="8">
        <v>85.007300000000001</v>
      </c>
      <c r="D54" s="8" t="s">
        <v>7</v>
      </c>
      <c r="E54" s="8" t="s">
        <v>93</v>
      </c>
      <c r="F54" s="21">
        <v>2</v>
      </c>
      <c r="G54" s="8">
        <v>897.83</v>
      </c>
      <c r="H54" s="11" t="s">
        <v>57</v>
      </c>
      <c r="I54" s="11">
        <v>1.75</v>
      </c>
      <c r="J54" s="11">
        <v>1239.9032300000001</v>
      </c>
      <c r="K54" s="11">
        <v>1086.912998</v>
      </c>
      <c r="L54" s="11">
        <v>909.14265799999998</v>
      </c>
      <c r="M54" s="11">
        <v>725.17729099999997</v>
      </c>
      <c r="N54" s="11">
        <v>510.23678900000004</v>
      </c>
      <c r="O54" s="11">
        <v>510.23678900000004</v>
      </c>
      <c r="P54" s="11">
        <v>1571.2025000000001</v>
      </c>
      <c r="Q54" s="11">
        <v>1571.2025000000001</v>
      </c>
      <c r="R54" s="11">
        <v>1571.2025000000001</v>
      </c>
      <c r="S54" s="11">
        <v>1571.2025000000001</v>
      </c>
      <c r="T54" s="11">
        <v>1456.1904770000001</v>
      </c>
      <c r="U54" s="11">
        <v>1354.1072060000001</v>
      </c>
    </row>
    <row r="55" spans="1:21" x14ac:dyDescent="0.25">
      <c r="A55" s="8">
        <v>53</v>
      </c>
      <c r="B55" s="8">
        <v>20.030899999999999</v>
      </c>
      <c r="C55" s="8">
        <v>85.012100000000004</v>
      </c>
      <c r="D55" s="8" t="s">
        <v>7</v>
      </c>
      <c r="E55" s="8" t="s">
        <v>93</v>
      </c>
      <c r="F55" s="21">
        <v>2.5</v>
      </c>
      <c r="G55" s="8">
        <v>411.49</v>
      </c>
      <c r="H55" s="11" t="s">
        <v>57</v>
      </c>
      <c r="I55" s="11">
        <v>2.25</v>
      </c>
      <c r="J55" s="11">
        <v>774.01269000000002</v>
      </c>
      <c r="K55" s="11">
        <v>703.89479399999993</v>
      </c>
      <c r="L55" s="11">
        <v>622.41977399999996</v>
      </c>
      <c r="M55" s="11">
        <v>538.10547300000007</v>
      </c>
      <c r="N55" s="11">
        <v>439.59476700000005</v>
      </c>
      <c r="O55" s="11">
        <v>439.59476700000005</v>
      </c>
      <c r="P55" s="11">
        <v>925.85249999999996</v>
      </c>
      <c r="Q55" s="11">
        <v>925.85249999999996</v>
      </c>
      <c r="R55" s="11">
        <v>925.85249999999996</v>
      </c>
      <c r="S55" s="11">
        <v>925.85249999999996</v>
      </c>
      <c r="T55" s="11">
        <v>873.1406310000001</v>
      </c>
      <c r="U55" s="11">
        <v>826.35421800000006</v>
      </c>
    </row>
    <row r="56" spans="1:21" x14ac:dyDescent="0.25">
      <c r="A56" s="8">
        <v>54</v>
      </c>
      <c r="B56" s="8">
        <v>20.029900000000001</v>
      </c>
      <c r="C56" s="8">
        <v>85.001999999999995</v>
      </c>
      <c r="D56" s="8" t="s">
        <v>7</v>
      </c>
      <c r="E56" s="8" t="s">
        <v>93</v>
      </c>
      <c r="F56" s="21">
        <v>4</v>
      </c>
      <c r="G56" s="8">
        <v>801.58</v>
      </c>
      <c r="H56" s="11" t="s">
        <v>57</v>
      </c>
      <c r="I56" s="11">
        <v>3.75</v>
      </c>
      <c r="J56" s="11">
        <v>2710.1419800000003</v>
      </c>
      <c r="K56" s="11">
        <v>2573.5527480000001</v>
      </c>
      <c r="L56" s="11">
        <v>2414.8399079999999</v>
      </c>
      <c r="M56" s="11">
        <v>2250.5961660000003</v>
      </c>
      <c r="N56" s="11">
        <v>2058.6979139999999</v>
      </c>
      <c r="O56" s="11">
        <v>2058.6979139999999</v>
      </c>
      <c r="P56" s="11">
        <v>3005.9250000000002</v>
      </c>
      <c r="Q56" s="11">
        <v>3005.9250000000002</v>
      </c>
      <c r="R56" s="11">
        <v>3005.9250000000002</v>
      </c>
      <c r="S56" s="11">
        <v>3005.9250000000002</v>
      </c>
      <c r="T56" s="11">
        <v>2903.2426020000003</v>
      </c>
      <c r="U56" s="11">
        <v>2812.1029560000002</v>
      </c>
    </row>
    <row r="57" spans="1:21" x14ac:dyDescent="0.25">
      <c r="A57" s="8">
        <v>55</v>
      </c>
      <c r="B57" s="8">
        <v>20.003699999999998</v>
      </c>
      <c r="C57" s="8">
        <v>85.000600000000006</v>
      </c>
      <c r="D57" s="8" t="s">
        <v>7</v>
      </c>
      <c r="E57" s="8" t="s">
        <v>93</v>
      </c>
      <c r="F57" s="21">
        <v>4</v>
      </c>
      <c r="G57" s="8">
        <v>7941.09</v>
      </c>
      <c r="H57" s="11" t="s">
        <v>60</v>
      </c>
      <c r="I57" s="11">
        <v>3.75</v>
      </c>
      <c r="J57" s="11">
        <v>26848.825290000001</v>
      </c>
      <c r="K57" s="11">
        <v>25495.663553999999</v>
      </c>
      <c r="L57" s="11">
        <v>23923.327733999999</v>
      </c>
      <c r="M57" s="11">
        <v>22296.198393000002</v>
      </c>
      <c r="N57" s="11">
        <v>20395.101446999997</v>
      </c>
      <c r="O57" s="11">
        <v>20395.101446999997</v>
      </c>
      <c r="P57" s="11">
        <v>29779.087500000001</v>
      </c>
      <c r="Q57" s="11">
        <v>29779.087500000001</v>
      </c>
      <c r="R57" s="11">
        <v>29779.087500000001</v>
      </c>
      <c r="S57" s="11">
        <v>29779.087500000001</v>
      </c>
      <c r="T57" s="11">
        <v>28761.833871000003</v>
      </c>
      <c r="U57" s="11">
        <v>27858.931938000002</v>
      </c>
    </row>
    <row r="58" spans="1:21" x14ac:dyDescent="0.25">
      <c r="A58" s="8">
        <v>56</v>
      </c>
      <c r="B58" s="8">
        <v>20.006399999999999</v>
      </c>
      <c r="C58" s="8">
        <v>84.999300000000005</v>
      </c>
      <c r="D58" s="8" t="s">
        <v>7</v>
      </c>
      <c r="E58" s="8" t="s">
        <v>93</v>
      </c>
      <c r="F58" s="21">
        <v>4</v>
      </c>
      <c r="G58" s="8">
        <v>22864.37</v>
      </c>
      <c r="H58" s="11" t="s">
        <v>60</v>
      </c>
      <c r="I58" s="11">
        <v>3.75</v>
      </c>
      <c r="J58" s="11">
        <v>77304.434970000002</v>
      </c>
      <c r="K58" s="11">
        <v>73408.346321999998</v>
      </c>
      <c r="L58" s="11">
        <v>68881.201061999993</v>
      </c>
      <c r="M58" s="11">
        <v>64196.291648999999</v>
      </c>
      <c r="N58" s="11">
        <v>58722.561470999994</v>
      </c>
      <c r="O58" s="11">
        <v>58722.561470999994</v>
      </c>
      <c r="P58" s="11">
        <v>85741.387499999997</v>
      </c>
      <c r="Q58" s="11">
        <v>85741.387499999997</v>
      </c>
      <c r="R58" s="11">
        <v>85741.387499999997</v>
      </c>
      <c r="S58" s="11">
        <v>85741.387499999997</v>
      </c>
      <c r="T58" s="11">
        <v>82812.461702999994</v>
      </c>
      <c r="U58" s="11">
        <v>80212.782833999998</v>
      </c>
    </row>
    <row r="59" spans="1:21" x14ac:dyDescent="0.25">
      <c r="A59" s="8">
        <v>57</v>
      </c>
      <c r="B59" s="8">
        <v>20.0092</v>
      </c>
      <c r="C59" s="8">
        <v>84.997799999999998</v>
      </c>
      <c r="D59" s="8" t="s">
        <v>7</v>
      </c>
      <c r="E59" s="8" t="s">
        <v>93</v>
      </c>
      <c r="F59" s="21">
        <v>4</v>
      </c>
      <c r="G59" s="8">
        <v>5550.42</v>
      </c>
      <c r="H59" s="11" t="s">
        <v>60</v>
      </c>
      <c r="I59" s="11">
        <v>3.75</v>
      </c>
      <c r="J59" s="11">
        <v>18765.970020000001</v>
      </c>
      <c r="K59" s="11">
        <v>17820.178452</v>
      </c>
      <c r="L59" s="11">
        <v>16721.195292</v>
      </c>
      <c r="M59" s="11">
        <v>15583.914234</v>
      </c>
      <c r="N59" s="11">
        <v>14255.143685999999</v>
      </c>
      <c r="O59" s="11">
        <v>14255.143685999999</v>
      </c>
      <c r="P59" s="11">
        <v>20814.075000000001</v>
      </c>
      <c r="Q59" s="11">
        <v>20814.075000000001</v>
      </c>
      <c r="R59" s="11">
        <v>20814.075000000001</v>
      </c>
      <c r="S59" s="11">
        <v>20814.075000000001</v>
      </c>
      <c r="T59" s="11">
        <v>20103.066198</v>
      </c>
      <c r="U59" s="11">
        <v>19471.983444000001</v>
      </c>
    </row>
    <row r="60" spans="1:21" x14ac:dyDescent="0.25">
      <c r="A60" s="8">
        <v>58</v>
      </c>
      <c r="B60" s="8">
        <v>20.0108</v>
      </c>
      <c r="C60" s="8">
        <v>84.998199999999997</v>
      </c>
      <c r="D60" s="8" t="s">
        <v>7</v>
      </c>
      <c r="E60" s="8" t="s">
        <v>93</v>
      </c>
      <c r="F60" s="21">
        <v>4</v>
      </c>
      <c r="G60" s="8">
        <v>3104.21</v>
      </c>
      <c r="H60" s="11" t="s">
        <v>60</v>
      </c>
      <c r="I60" s="11">
        <v>3.75</v>
      </c>
      <c r="J60" s="11">
        <v>10495.33401</v>
      </c>
      <c r="K60" s="11">
        <v>9966.3766259999993</v>
      </c>
      <c r="L60" s="11">
        <v>9351.7430459999996</v>
      </c>
      <c r="M60" s="11">
        <v>8715.6904169999998</v>
      </c>
      <c r="N60" s="11">
        <v>7972.5425429999996</v>
      </c>
      <c r="O60" s="11">
        <v>7972.5425429999996</v>
      </c>
      <c r="P60" s="11">
        <v>11640.7875</v>
      </c>
      <c r="Q60" s="11">
        <v>11640.7875</v>
      </c>
      <c r="R60" s="11">
        <v>11640.7875</v>
      </c>
      <c r="S60" s="11">
        <v>11640.7875</v>
      </c>
      <c r="T60" s="11">
        <v>11243.138199000001</v>
      </c>
      <c r="U60" s="11">
        <v>10890.189522000001</v>
      </c>
    </row>
    <row r="61" spans="1:21" x14ac:dyDescent="0.25">
      <c r="A61" s="8">
        <v>59</v>
      </c>
      <c r="B61" s="8">
        <v>20.009599999999999</v>
      </c>
      <c r="C61" s="8">
        <v>85.003</v>
      </c>
      <c r="D61" s="8" t="s">
        <v>7</v>
      </c>
      <c r="E61" s="8" t="s">
        <v>93</v>
      </c>
      <c r="F61" s="21">
        <v>4</v>
      </c>
      <c r="G61" s="8">
        <v>14252.06</v>
      </c>
      <c r="H61" s="11" t="s">
        <v>60</v>
      </c>
      <c r="I61" s="11">
        <v>3.75</v>
      </c>
      <c r="J61" s="11">
        <v>48186.21486</v>
      </c>
      <c r="K61" s="11">
        <v>45757.663836</v>
      </c>
      <c r="L61" s="11">
        <v>42935.755956000001</v>
      </c>
      <c r="M61" s="11">
        <v>40015.508862000002</v>
      </c>
      <c r="N61" s="11">
        <v>36603.565697999999</v>
      </c>
      <c r="O61" s="11">
        <v>36603.565697999999</v>
      </c>
      <c r="P61" s="11">
        <v>53445.224999999999</v>
      </c>
      <c r="Q61" s="11">
        <v>53445.224999999999</v>
      </c>
      <c r="R61" s="11">
        <v>53445.224999999999</v>
      </c>
      <c r="S61" s="11">
        <v>53445.224999999999</v>
      </c>
      <c r="T61" s="11">
        <v>51619.536114000002</v>
      </c>
      <c r="U61" s="11">
        <v>49999.076891999997</v>
      </c>
    </row>
    <row r="62" spans="1:21" x14ac:dyDescent="0.25">
      <c r="A62" s="8">
        <v>60</v>
      </c>
      <c r="B62" s="8">
        <v>20.007400000000001</v>
      </c>
      <c r="C62" s="8">
        <v>85.006600000000006</v>
      </c>
      <c r="D62" s="8" t="s">
        <v>7</v>
      </c>
      <c r="E62" s="8" t="s">
        <v>93</v>
      </c>
      <c r="F62" s="21">
        <v>4</v>
      </c>
      <c r="G62" s="8">
        <v>3260.88</v>
      </c>
      <c r="H62" s="11" t="s">
        <v>60</v>
      </c>
      <c r="I62" s="11">
        <v>3.75</v>
      </c>
      <c r="J62" s="11">
        <v>11025.035280000002</v>
      </c>
      <c r="K62" s="11">
        <v>10469.381327999999</v>
      </c>
      <c r="L62" s="11">
        <v>9823.7270879999996</v>
      </c>
      <c r="M62" s="11">
        <v>9155.5727760000009</v>
      </c>
      <c r="N62" s="11">
        <v>8374.9181040000003</v>
      </c>
      <c r="O62" s="11">
        <v>8374.9181040000003</v>
      </c>
      <c r="P62" s="11">
        <v>12228.300000000001</v>
      </c>
      <c r="Q62" s="11">
        <v>12228.300000000001</v>
      </c>
      <c r="R62" s="11">
        <v>12228.300000000001</v>
      </c>
      <c r="S62" s="11">
        <v>12228.300000000001</v>
      </c>
      <c r="T62" s="11">
        <v>11810.581272000001</v>
      </c>
      <c r="U62" s="11">
        <v>11439.819216</v>
      </c>
    </row>
    <row r="63" spans="1:21" x14ac:dyDescent="0.25">
      <c r="A63" s="8">
        <v>61</v>
      </c>
      <c r="B63" s="8">
        <v>20.006399999999999</v>
      </c>
      <c r="C63" s="8">
        <v>85.007800000000003</v>
      </c>
      <c r="D63" s="8" t="s">
        <v>7</v>
      </c>
      <c r="E63" s="8" t="s">
        <v>93</v>
      </c>
      <c r="F63" s="21">
        <v>2</v>
      </c>
      <c r="G63" s="8">
        <v>461.57</v>
      </c>
      <c r="H63" s="11" t="s">
        <v>60</v>
      </c>
      <c r="I63" s="11">
        <v>1.75</v>
      </c>
      <c r="J63" s="11">
        <v>637.42817000000002</v>
      </c>
      <c r="K63" s="11">
        <v>558.77664199999992</v>
      </c>
      <c r="L63" s="11">
        <v>467.38578199999995</v>
      </c>
      <c r="M63" s="11">
        <v>372.810089</v>
      </c>
      <c r="N63" s="11">
        <v>262.31023099999999</v>
      </c>
      <c r="O63" s="11">
        <v>262.31023099999999</v>
      </c>
      <c r="P63" s="11">
        <v>807.74749999999995</v>
      </c>
      <c r="Q63" s="11">
        <v>807.74749999999995</v>
      </c>
      <c r="R63" s="11">
        <v>807.74749999999995</v>
      </c>
      <c r="S63" s="11">
        <v>807.74749999999995</v>
      </c>
      <c r="T63" s="11">
        <v>748.62038300000006</v>
      </c>
      <c r="U63" s="11">
        <v>696.13987399999996</v>
      </c>
    </row>
    <row r="64" spans="1:21" x14ac:dyDescent="0.25">
      <c r="A64" s="8">
        <v>62</v>
      </c>
      <c r="B64" s="8">
        <v>20.0093</v>
      </c>
      <c r="C64" s="8">
        <v>85.004999999999995</v>
      </c>
      <c r="D64" s="8" t="s">
        <v>7</v>
      </c>
      <c r="E64" s="8" t="s">
        <v>93</v>
      </c>
      <c r="F64" s="21">
        <v>3</v>
      </c>
      <c r="G64" s="8">
        <v>1879.15</v>
      </c>
      <c r="H64" s="11" t="s">
        <v>60</v>
      </c>
      <c r="I64" s="11">
        <v>2.75</v>
      </c>
      <c r="J64" s="11">
        <v>4474.2561500000011</v>
      </c>
      <c r="K64" s="11">
        <v>4154.0489900000002</v>
      </c>
      <c r="L64" s="11">
        <v>3781.9772900000003</v>
      </c>
      <c r="M64" s="11">
        <v>3396.9394550000002</v>
      </c>
      <c r="N64" s="11">
        <v>2947.0709450000004</v>
      </c>
      <c r="O64" s="11">
        <v>2947.0709450000004</v>
      </c>
      <c r="P64" s="11">
        <v>5167.6625000000004</v>
      </c>
      <c r="Q64" s="11">
        <v>5167.6625000000004</v>
      </c>
      <c r="R64" s="11">
        <v>5167.6625000000004</v>
      </c>
      <c r="S64" s="11">
        <v>5167.6625000000004</v>
      </c>
      <c r="T64" s="11">
        <v>4926.9433850000005</v>
      </c>
      <c r="U64" s="11">
        <v>4713.2840299999998</v>
      </c>
    </row>
    <row r="65" spans="1:21" x14ac:dyDescent="0.25">
      <c r="A65" s="8">
        <v>63</v>
      </c>
      <c r="B65" s="8">
        <v>20.011700000000001</v>
      </c>
      <c r="C65" s="8">
        <v>85.005799999999994</v>
      </c>
      <c r="D65" s="8" t="s">
        <v>7</v>
      </c>
      <c r="E65" s="8" t="s">
        <v>93</v>
      </c>
      <c r="F65" s="21">
        <v>2</v>
      </c>
      <c r="G65" s="8">
        <v>1253.43</v>
      </c>
      <c r="H65" s="11" t="s">
        <v>60</v>
      </c>
      <c r="I65" s="11">
        <v>1.75</v>
      </c>
      <c r="J65" s="11">
        <v>1730.9868300000001</v>
      </c>
      <c r="K65" s="11">
        <v>1517.402358</v>
      </c>
      <c r="L65" s="11">
        <v>1269.2232180000001</v>
      </c>
      <c r="M65" s="11">
        <v>1012.395411</v>
      </c>
      <c r="N65" s="11">
        <v>712.32426900000007</v>
      </c>
      <c r="O65" s="11">
        <v>712.32426900000007</v>
      </c>
      <c r="P65" s="11">
        <v>2193.5025000000001</v>
      </c>
      <c r="Q65" s="11">
        <v>2193.5025000000001</v>
      </c>
      <c r="R65" s="11">
        <v>2193.5025000000001</v>
      </c>
      <c r="S65" s="11">
        <v>2193.5025000000001</v>
      </c>
      <c r="T65" s="11">
        <v>2032.9381170000001</v>
      </c>
      <c r="U65" s="11">
        <v>1890.4231260000001</v>
      </c>
    </row>
    <row r="66" spans="1:21" x14ac:dyDescent="0.25">
      <c r="A66" s="8">
        <v>64</v>
      </c>
      <c r="B66" s="8">
        <v>20.013500000000001</v>
      </c>
      <c r="C66" s="8">
        <v>85.006799999999998</v>
      </c>
      <c r="D66" s="8" t="s">
        <v>7</v>
      </c>
      <c r="E66" s="8" t="s">
        <v>93</v>
      </c>
      <c r="F66" s="21">
        <v>4</v>
      </c>
      <c r="G66" s="8">
        <v>1850.03</v>
      </c>
      <c r="H66" s="11" t="s">
        <v>60</v>
      </c>
      <c r="I66" s="11">
        <v>3.75</v>
      </c>
      <c r="J66" s="11">
        <v>6254.9514300000001</v>
      </c>
      <c r="K66" s="11">
        <v>5939.7063179999996</v>
      </c>
      <c r="L66" s="11">
        <v>5573.4003779999994</v>
      </c>
      <c r="M66" s="11">
        <v>5194.3292309999997</v>
      </c>
      <c r="N66" s="11">
        <v>4751.432049</v>
      </c>
      <c r="O66" s="11">
        <v>4751.432049</v>
      </c>
      <c r="P66" s="11">
        <v>6937.6125000000002</v>
      </c>
      <c r="Q66" s="11">
        <v>6937.6125000000002</v>
      </c>
      <c r="R66" s="11">
        <v>6937.6125000000002</v>
      </c>
      <c r="S66" s="11">
        <v>6937.6125000000002</v>
      </c>
      <c r="T66" s="11">
        <v>6700.6236570000001</v>
      </c>
      <c r="U66" s="11">
        <v>6490.2752460000002</v>
      </c>
    </row>
    <row r="67" spans="1:21" x14ac:dyDescent="0.25">
      <c r="A67" s="8">
        <v>65</v>
      </c>
      <c r="B67" s="8">
        <v>20.014099999999999</v>
      </c>
      <c r="C67" s="8">
        <v>85.007900000000006</v>
      </c>
      <c r="D67" s="8" t="s">
        <v>7</v>
      </c>
      <c r="E67" s="8" t="s">
        <v>93</v>
      </c>
      <c r="F67" s="21">
        <v>4</v>
      </c>
      <c r="G67" s="8">
        <v>3917.2</v>
      </c>
      <c r="H67" s="11" t="s">
        <v>60</v>
      </c>
      <c r="I67" s="11">
        <v>3.75</v>
      </c>
      <c r="J67" s="11">
        <v>13244.0532</v>
      </c>
      <c r="K67" s="11">
        <v>12576.562319999999</v>
      </c>
      <c r="L67" s="11">
        <v>11800.95672</v>
      </c>
      <c r="M67" s="11">
        <v>10998.32244</v>
      </c>
      <c r="N67" s="11">
        <v>10060.544759999999</v>
      </c>
      <c r="O67" s="11">
        <v>10060.544759999999</v>
      </c>
      <c r="P67" s="11">
        <v>14689.5</v>
      </c>
      <c r="Q67" s="11">
        <v>14689.5</v>
      </c>
      <c r="R67" s="11">
        <v>14689.5</v>
      </c>
      <c r="S67" s="11">
        <v>14689.5</v>
      </c>
      <c r="T67" s="11">
        <v>14187.706679999999</v>
      </c>
      <c r="U67" s="11">
        <v>13742.321039999999</v>
      </c>
    </row>
    <row r="68" spans="1:21" x14ac:dyDescent="0.25">
      <c r="A68" s="8">
        <v>66</v>
      </c>
      <c r="B68" s="8">
        <v>20.0153</v>
      </c>
      <c r="C68" s="8">
        <v>85.007800000000003</v>
      </c>
      <c r="D68" s="8" t="s">
        <v>7</v>
      </c>
      <c r="E68" s="8" t="s">
        <v>93</v>
      </c>
      <c r="F68" s="21">
        <v>3</v>
      </c>
      <c r="G68" s="8">
        <v>631.09</v>
      </c>
      <c r="H68" s="11" t="s">
        <v>60</v>
      </c>
      <c r="I68" s="11">
        <v>2.75</v>
      </c>
      <c r="J68" s="11">
        <v>1502.6252900000002</v>
      </c>
      <c r="K68" s="11">
        <v>1395.087554</v>
      </c>
      <c r="L68" s="11">
        <v>1270.1317340000001</v>
      </c>
      <c r="M68" s="11">
        <v>1140.8213930000002</v>
      </c>
      <c r="N68" s="11">
        <v>989.73844700000006</v>
      </c>
      <c r="O68" s="11">
        <v>989.73844700000006</v>
      </c>
      <c r="P68" s="11">
        <v>1735.4975000000002</v>
      </c>
      <c r="Q68" s="11">
        <v>1735.4975000000002</v>
      </c>
      <c r="R68" s="11">
        <v>1735.4975000000002</v>
      </c>
      <c r="S68" s="11">
        <v>1735.4975000000002</v>
      </c>
      <c r="T68" s="11">
        <v>1654.6548710000002</v>
      </c>
      <c r="U68" s="11">
        <v>1582.899938</v>
      </c>
    </row>
    <row r="69" spans="1:21" x14ac:dyDescent="0.25">
      <c r="A69" s="8">
        <v>67</v>
      </c>
      <c r="B69" s="8">
        <v>20.013999999999999</v>
      </c>
      <c r="C69" s="8">
        <v>84.998500000000007</v>
      </c>
      <c r="D69" s="8" t="s">
        <v>7</v>
      </c>
      <c r="E69" s="8" t="s">
        <v>93</v>
      </c>
      <c r="F69" s="21">
        <v>4</v>
      </c>
      <c r="G69" s="8">
        <v>3240.89</v>
      </c>
      <c r="H69" s="11" t="s">
        <v>60</v>
      </c>
      <c r="I69" s="11">
        <v>3.75</v>
      </c>
      <c r="J69" s="11">
        <v>10957.44909</v>
      </c>
      <c r="K69" s="11">
        <v>10405.201433999999</v>
      </c>
      <c r="L69" s="11">
        <v>9763.5052139999989</v>
      </c>
      <c r="M69" s="11">
        <v>9099.4468529999995</v>
      </c>
      <c r="N69" s="11">
        <v>8323.5777869999984</v>
      </c>
      <c r="O69" s="11">
        <v>8323.5777869999984</v>
      </c>
      <c r="P69" s="11">
        <v>12153.3375</v>
      </c>
      <c r="Q69" s="11">
        <v>12153.3375</v>
      </c>
      <c r="R69" s="11">
        <v>12153.3375</v>
      </c>
      <c r="S69" s="11">
        <v>12153.3375</v>
      </c>
      <c r="T69" s="11">
        <v>11738.179491000001</v>
      </c>
      <c r="U69" s="11">
        <v>11369.690298</v>
      </c>
    </row>
    <row r="70" spans="1:21" x14ac:dyDescent="0.25">
      <c r="A70" s="8">
        <v>68</v>
      </c>
      <c r="B70" s="8">
        <v>20.015899999999998</v>
      </c>
      <c r="C70" s="8">
        <v>84.992699999999999</v>
      </c>
      <c r="D70" s="8" t="s">
        <v>7</v>
      </c>
      <c r="E70" s="8" t="s">
        <v>93</v>
      </c>
      <c r="F70" s="21">
        <v>4</v>
      </c>
      <c r="G70" s="8">
        <v>5788.72</v>
      </c>
      <c r="H70" s="11" t="s">
        <v>60</v>
      </c>
      <c r="I70" s="11">
        <v>3.75</v>
      </c>
      <c r="J70" s="11">
        <v>19571.662320000003</v>
      </c>
      <c r="K70" s="11">
        <v>18585.264432</v>
      </c>
      <c r="L70" s="11">
        <v>17439.097872000002</v>
      </c>
      <c r="M70" s="11">
        <v>16252.989144000001</v>
      </c>
      <c r="N70" s="11">
        <v>14867.169576</v>
      </c>
      <c r="O70" s="11">
        <v>14867.169576</v>
      </c>
      <c r="P70" s="11">
        <v>21707.7</v>
      </c>
      <c r="Q70" s="11">
        <v>21707.7</v>
      </c>
      <c r="R70" s="11">
        <v>21707.7</v>
      </c>
      <c r="S70" s="11">
        <v>21707.7</v>
      </c>
      <c r="T70" s="11">
        <v>20966.164968000001</v>
      </c>
      <c r="U70" s="11">
        <v>20307.987504000001</v>
      </c>
    </row>
    <row r="71" spans="1:21" x14ac:dyDescent="0.25">
      <c r="A71" s="8">
        <v>69</v>
      </c>
      <c r="B71" s="8">
        <v>20.0167</v>
      </c>
      <c r="C71" s="8">
        <v>84.997600000000006</v>
      </c>
      <c r="D71" s="8" t="s">
        <v>7</v>
      </c>
      <c r="E71" s="8" t="s">
        <v>93</v>
      </c>
      <c r="F71" s="21">
        <v>3</v>
      </c>
      <c r="G71" s="8">
        <v>1915.78</v>
      </c>
      <c r="H71" s="11" t="s">
        <v>60</v>
      </c>
      <c r="I71" s="11">
        <v>2.75</v>
      </c>
      <c r="J71" s="11">
        <v>4561.4721800000007</v>
      </c>
      <c r="K71" s="11">
        <v>4235.0232679999999</v>
      </c>
      <c r="L71" s="11">
        <v>3855.698828</v>
      </c>
      <c r="M71" s="11">
        <v>3463.1555060000001</v>
      </c>
      <c r="N71" s="11">
        <v>3004.5177739999999</v>
      </c>
      <c r="O71" s="11">
        <v>3004.5177739999999</v>
      </c>
      <c r="P71" s="11">
        <v>5268.3949999999995</v>
      </c>
      <c r="Q71" s="11">
        <v>5268.3949999999995</v>
      </c>
      <c r="R71" s="11">
        <v>5268.3949999999995</v>
      </c>
      <c r="S71" s="11">
        <v>5268.3949999999995</v>
      </c>
      <c r="T71" s="11">
        <v>5022.9835819999998</v>
      </c>
      <c r="U71" s="11">
        <v>4805.159396</v>
      </c>
    </row>
    <row r="72" spans="1:21" x14ac:dyDescent="0.25">
      <c r="A72" s="8">
        <v>70</v>
      </c>
      <c r="B72" s="8">
        <v>20.020800000000001</v>
      </c>
      <c r="C72" s="8">
        <v>85.000100000000003</v>
      </c>
      <c r="D72" s="8" t="s">
        <v>7</v>
      </c>
      <c r="E72" s="8" t="s">
        <v>93</v>
      </c>
      <c r="F72" s="21">
        <v>3</v>
      </c>
      <c r="G72" s="8">
        <v>2913.8</v>
      </c>
      <c r="H72" s="11" t="s">
        <v>60</v>
      </c>
      <c r="I72" s="11">
        <v>2.75</v>
      </c>
      <c r="J72" s="11">
        <v>6937.7578000000012</v>
      </c>
      <c r="K72" s="11">
        <v>6441.2462800000003</v>
      </c>
      <c r="L72" s="11">
        <v>5864.3138800000006</v>
      </c>
      <c r="M72" s="11">
        <v>5267.2762600000005</v>
      </c>
      <c r="N72" s="11">
        <v>4569.7125400000004</v>
      </c>
      <c r="O72" s="11">
        <v>4569.7125400000004</v>
      </c>
      <c r="P72" s="11">
        <v>8012.9500000000007</v>
      </c>
      <c r="Q72" s="11">
        <v>8012.9500000000007</v>
      </c>
      <c r="R72" s="11">
        <v>8012.9500000000007</v>
      </c>
      <c r="S72" s="11">
        <v>8012.9500000000007</v>
      </c>
      <c r="T72" s="11">
        <v>7639.6922200000008</v>
      </c>
      <c r="U72" s="11">
        <v>7308.3931600000005</v>
      </c>
    </row>
    <row r="73" spans="1:21" x14ac:dyDescent="0.25">
      <c r="A73" s="8">
        <v>71</v>
      </c>
      <c r="B73" s="8">
        <v>20.0242</v>
      </c>
      <c r="C73" s="8">
        <v>85.000200000000007</v>
      </c>
      <c r="D73" s="8" t="s">
        <v>7</v>
      </c>
      <c r="E73" s="8" t="s">
        <v>93</v>
      </c>
      <c r="F73" s="21">
        <v>2.5</v>
      </c>
      <c r="G73" s="8">
        <v>976.03</v>
      </c>
      <c r="H73" s="11" t="s">
        <v>60</v>
      </c>
      <c r="I73" s="11">
        <v>2.25</v>
      </c>
      <c r="J73" s="11">
        <v>1835.9124299999999</v>
      </c>
      <c r="K73" s="11">
        <v>1669.596918</v>
      </c>
      <c r="L73" s="11">
        <v>1476.3429779999999</v>
      </c>
      <c r="M73" s="11">
        <v>1276.354431</v>
      </c>
      <c r="N73" s="11">
        <v>1042.692849</v>
      </c>
      <c r="O73" s="11">
        <v>1042.692849</v>
      </c>
      <c r="P73" s="11">
        <v>2196.0675000000001</v>
      </c>
      <c r="Q73" s="11">
        <v>2196.0675000000001</v>
      </c>
      <c r="R73" s="11">
        <v>2196.0675000000001</v>
      </c>
      <c r="S73" s="11">
        <v>2196.0675000000001</v>
      </c>
      <c r="T73" s="11">
        <v>2071.0380570000002</v>
      </c>
      <c r="U73" s="11">
        <v>1960.0634459999999</v>
      </c>
    </row>
    <row r="74" spans="1:21" x14ac:dyDescent="0.25">
      <c r="A74" s="8">
        <v>72</v>
      </c>
      <c r="B74" s="8">
        <v>20.024899999999999</v>
      </c>
      <c r="C74" s="8">
        <v>85.006200000000007</v>
      </c>
      <c r="D74" s="8" t="s">
        <v>7</v>
      </c>
      <c r="E74" s="8" t="s">
        <v>93</v>
      </c>
      <c r="F74" s="21">
        <v>3</v>
      </c>
      <c r="G74" s="8">
        <v>4326.5200000000004</v>
      </c>
      <c r="H74" s="11" t="s">
        <v>60</v>
      </c>
      <c r="I74" s="11">
        <v>2.75</v>
      </c>
      <c r="J74" s="11">
        <v>10301.444120000002</v>
      </c>
      <c r="K74" s="11">
        <v>9564.2051119999996</v>
      </c>
      <c r="L74" s="11">
        <v>8707.5541520000006</v>
      </c>
      <c r="M74" s="11">
        <v>7821.050204000001</v>
      </c>
      <c r="N74" s="11">
        <v>6785.2813160000005</v>
      </c>
      <c r="O74" s="11">
        <v>6785.2813160000005</v>
      </c>
      <c r="P74" s="11">
        <v>11897.93</v>
      </c>
      <c r="Q74" s="11">
        <v>11897.93</v>
      </c>
      <c r="R74" s="11">
        <v>11897.93</v>
      </c>
      <c r="S74" s="11">
        <v>11897.93</v>
      </c>
      <c r="T74" s="11">
        <v>11343.702788000002</v>
      </c>
      <c r="U74" s="11">
        <v>10851.777464000001</v>
      </c>
    </row>
    <row r="75" spans="1:21" x14ac:dyDescent="0.25">
      <c r="A75" s="8">
        <v>73</v>
      </c>
      <c r="B75" s="8">
        <v>20.025099999999998</v>
      </c>
      <c r="C75" s="8">
        <v>85.006900000000002</v>
      </c>
      <c r="D75" s="8" t="s">
        <v>7</v>
      </c>
      <c r="E75" s="8" t="s">
        <v>93</v>
      </c>
      <c r="F75" s="21">
        <v>3</v>
      </c>
      <c r="G75" s="8">
        <v>3228.63</v>
      </c>
      <c r="H75" s="11" t="s">
        <v>60</v>
      </c>
      <c r="I75" s="11">
        <v>2.75</v>
      </c>
      <c r="J75" s="11">
        <v>7687.3680300000005</v>
      </c>
      <c r="K75" s="11">
        <v>7137.2094779999998</v>
      </c>
      <c r="L75" s="11">
        <v>6497.9407380000002</v>
      </c>
      <c r="M75" s="11">
        <v>5836.3944510000001</v>
      </c>
      <c r="N75" s="11">
        <v>5063.4604290000007</v>
      </c>
      <c r="O75" s="11">
        <v>5063.4604290000007</v>
      </c>
      <c r="P75" s="11">
        <v>8878.7325000000001</v>
      </c>
      <c r="Q75" s="11">
        <v>8878.7325000000001</v>
      </c>
      <c r="R75" s="11">
        <v>8878.7325000000001</v>
      </c>
      <c r="S75" s="11">
        <v>8878.7325000000001</v>
      </c>
      <c r="T75" s="11">
        <v>8465.1449970000012</v>
      </c>
      <c r="U75" s="11">
        <v>8098.0497660000001</v>
      </c>
    </row>
    <row r="76" spans="1:21" x14ac:dyDescent="0.25">
      <c r="A76" s="8">
        <v>74</v>
      </c>
      <c r="B76" s="8">
        <v>20.024999999999999</v>
      </c>
      <c r="C76" s="8">
        <v>85.008899999999997</v>
      </c>
      <c r="D76" s="8" t="s">
        <v>7</v>
      </c>
      <c r="E76" s="8" t="s">
        <v>93</v>
      </c>
      <c r="F76" s="21">
        <v>3</v>
      </c>
      <c r="G76" s="8">
        <v>5752.17</v>
      </c>
      <c r="H76" s="11" t="s">
        <v>60</v>
      </c>
      <c r="I76" s="11">
        <v>2.75</v>
      </c>
      <c r="J76" s="11">
        <v>13695.916770000002</v>
      </c>
      <c r="K76" s="11">
        <v>12715.747002</v>
      </c>
      <c r="L76" s="11">
        <v>11576.817342</v>
      </c>
      <c r="M76" s="11">
        <v>10398.197709</v>
      </c>
      <c r="N76" s="11">
        <v>9021.1282110000011</v>
      </c>
      <c r="O76" s="11">
        <v>9021.1282110000011</v>
      </c>
      <c r="P76" s="11">
        <v>15818.467500000001</v>
      </c>
      <c r="Q76" s="11">
        <v>15818.467500000001</v>
      </c>
      <c r="R76" s="11">
        <v>15818.467500000001</v>
      </c>
      <c r="S76" s="11">
        <v>15818.467500000001</v>
      </c>
      <c r="T76" s="11">
        <v>15081.614523</v>
      </c>
      <c r="U76" s="11">
        <v>14427.592794</v>
      </c>
    </row>
    <row r="77" spans="1:21" x14ac:dyDescent="0.25">
      <c r="A77" s="8">
        <v>75</v>
      </c>
      <c r="B77" s="8">
        <v>20.024100000000001</v>
      </c>
      <c r="C77" s="8">
        <v>85.011399999999995</v>
      </c>
      <c r="D77" s="8" t="s">
        <v>7</v>
      </c>
      <c r="E77" s="8" t="s">
        <v>93</v>
      </c>
      <c r="F77" s="21">
        <v>3</v>
      </c>
      <c r="G77" s="8">
        <v>3904.01</v>
      </c>
      <c r="H77" s="11" t="s">
        <v>60</v>
      </c>
      <c r="I77" s="11">
        <v>2.75</v>
      </c>
      <c r="J77" s="11">
        <v>9295.4478100000015</v>
      </c>
      <c r="K77" s="11">
        <v>8630.204506</v>
      </c>
      <c r="L77" s="11">
        <v>7857.2105259999998</v>
      </c>
      <c r="M77" s="11">
        <v>7057.2788770000006</v>
      </c>
      <c r="N77" s="11">
        <v>6122.6588830000001</v>
      </c>
      <c r="O77" s="11">
        <v>6122.6588830000001</v>
      </c>
      <c r="P77" s="11">
        <v>10736.0275</v>
      </c>
      <c r="Q77" s="11">
        <v>10736.0275</v>
      </c>
      <c r="R77" s="11">
        <v>10736.0275</v>
      </c>
      <c r="S77" s="11">
        <v>10736.0275</v>
      </c>
      <c r="T77" s="11">
        <v>10235.923819000001</v>
      </c>
      <c r="U77" s="11">
        <v>9792.0378820000005</v>
      </c>
    </row>
    <row r="78" spans="1:21" x14ac:dyDescent="0.25">
      <c r="A78" s="8">
        <v>76</v>
      </c>
      <c r="B78" s="8">
        <v>20.023599999999998</v>
      </c>
      <c r="C78" s="8">
        <v>85.013900000000007</v>
      </c>
      <c r="D78" s="8" t="s">
        <v>7</v>
      </c>
      <c r="E78" s="8" t="s">
        <v>93</v>
      </c>
      <c r="F78" s="21">
        <v>2</v>
      </c>
      <c r="G78" s="8">
        <v>540.79999999999995</v>
      </c>
      <c r="H78" s="11" t="s">
        <v>60</v>
      </c>
      <c r="I78" s="11">
        <v>1.75</v>
      </c>
      <c r="J78" s="11">
        <v>746.84479999999996</v>
      </c>
      <c r="K78" s="11">
        <v>654.69247999999993</v>
      </c>
      <c r="L78" s="11">
        <v>547.61407999999994</v>
      </c>
      <c r="M78" s="11">
        <v>436.80415999999997</v>
      </c>
      <c r="N78" s="11">
        <v>307.33663999999999</v>
      </c>
      <c r="O78" s="11">
        <v>307.33663999999999</v>
      </c>
      <c r="P78" s="11">
        <v>946.39999999999986</v>
      </c>
      <c r="Q78" s="11">
        <v>946.39999999999986</v>
      </c>
      <c r="R78" s="11">
        <v>946.39999999999986</v>
      </c>
      <c r="S78" s="11">
        <v>946.39999999999986</v>
      </c>
      <c r="T78" s="11">
        <v>877.12351999999998</v>
      </c>
      <c r="U78" s="11">
        <v>815.63455999999996</v>
      </c>
    </row>
    <row r="79" spans="1:21" x14ac:dyDescent="0.25">
      <c r="A79" s="8">
        <v>77</v>
      </c>
      <c r="B79" s="8">
        <v>20.0214</v>
      </c>
      <c r="C79" s="8">
        <v>85.012900000000002</v>
      </c>
      <c r="D79" s="8" t="s">
        <v>7</v>
      </c>
      <c r="E79" s="8" t="s">
        <v>93</v>
      </c>
      <c r="F79" s="21">
        <v>3</v>
      </c>
      <c r="G79" s="8">
        <v>5804.55</v>
      </c>
      <c r="H79" s="11" t="s">
        <v>60</v>
      </c>
      <c r="I79" s="11">
        <v>2.75</v>
      </c>
      <c r="J79" s="11">
        <v>13820.633550000002</v>
      </c>
      <c r="K79" s="11">
        <v>12831.53823</v>
      </c>
      <c r="L79" s="11">
        <v>11682.23733</v>
      </c>
      <c r="M79" s="11">
        <v>10492.885035000001</v>
      </c>
      <c r="N79" s="11">
        <v>9103.2757650000003</v>
      </c>
      <c r="O79" s="11">
        <v>9103.2757650000003</v>
      </c>
      <c r="P79" s="11">
        <v>15962.512500000001</v>
      </c>
      <c r="Q79" s="11">
        <v>15962.512500000001</v>
      </c>
      <c r="R79" s="11">
        <v>15962.512500000001</v>
      </c>
      <c r="S79" s="11">
        <v>15962.512500000001</v>
      </c>
      <c r="T79" s="11">
        <v>15218.949645000001</v>
      </c>
      <c r="U79" s="11">
        <v>14558.972310000001</v>
      </c>
    </row>
    <row r="80" spans="1:21" x14ac:dyDescent="0.25">
      <c r="A80" s="8">
        <v>78</v>
      </c>
      <c r="B80" s="8">
        <v>20.022099999999998</v>
      </c>
      <c r="C80" s="8">
        <v>85.010199999999998</v>
      </c>
      <c r="D80" s="8" t="s">
        <v>7</v>
      </c>
      <c r="E80" s="8" t="s">
        <v>93</v>
      </c>
      <c r="F80" s="21">
        <v>2</v>
      </c>
      <c r="G80" s="8">
        <v>1723.81</v>
      </c>
      <c r="H80" s="11" t="s">
        <v>60</v>
      </c>
      <c r="I80" s="11">
        <v>1.75</v>
      </c>
      <c r="J80" s="11">
        <v>2380.5816099999997</v>
      </c>
      <c r="K80" s="11">
        <v>2086.8443859999998</v>
      </c>
      <c r="L80" s="11">
        <v>1745.530006</v>
      </c>
      <c r="M80" s="11">
        <v>1392.3213369999999</v>
      </c>
      <c r="N80" s="11">
        <v>979.64122299999997</v>
      </c>
      <c r="O80" s="11">
        <v>979.64122299999997</v>
      </c>
      <c r="P80" s="11">
        <v>3016.6675</v>
      </c>
      <c r="Q80" s="11">
        <v>3016.6675</v>
      </c>
      <c r="R80" s="11">
        <v>3016.6675</v>
      </c>
      <c r="S80" s="11">
        <v>3016.6675</v>
      </c>
      <c r="T80" s="11">
        <v>2795.8474390000001</v>
      </c>
      <c r="U80" s="11">
        <v>2599.850242</v>
      </c>
    </row>
    <row r="81" spans="1:21" x14ac:dyDescent="0.25">
      <c r="A81" s="8">
        <v>79</v>
      </c>
      <c r="B81" s="8">
        <v>20.0214</v>
      </c>
      <c r="C81" s="8">
        <v>85.009699999999995</v>
      </c>
      <c r="D81" s="8" t="s">
        <v>7</v>
      </c>
      <c r="E81" s="8" t="s">
        <v>93</v>
      </c>
      <c r="F81" s="21">
        <v>2.5</v>
      </c>
      <c r="G81" s="8">
        <v>306.52999999999997</v>
      </c>
      <c r="H81" s="11" t="s">
        <v>60</v>
      </c>
      <c r="I81" s="11">
        <v>2.25</v>
      </c>
      <c r="J81" s="11">
        <v>576.58292999999992</v>
      </c>
      <c r="K81" s="11">
        <v>524.35021799999993</v>
      </c>
      <c r="L81" s="11">
        <v>463.65727799999996</v>
      </c>
      <c r="M81" s="11">
        <v>400.84928099999996</v>
      </c>
      <c r="N81" s="11">
        <v>327.46599899999995</v>
      </c>
      <c r="O81" s="11">
        <v>327.46599899999995</v>
      </c>
      <c r="P81" s="11">
        <v>689.69249999999988</v>
      </c>
      <c r="Q81" s="11">
        <v>689.69249999999988</v>
      </c>
      <c r="R81" s="11">
        <v>689.69249999999988</v>
      </c>
      <c r="S81" s="11">
        <v>689.69249999999988</v>
      </c>
      <c r="T81" s="11">
        <v>650.42600700000003</v>
      </c>
      <c r="U81" s="11">
        <v>615.57354599999996</v>
      </c>
    </row>
    <row r="82" spans="1:21" x14ac:dyDescent="0.25">
      <c r="A82" s="8">
        <v>80</v>
      </c>
      <c r="B82" s="8">
        <v>20.0181</v>
      </c>
      <c r="C82" s="8">
        <v>85.013199999999998</v>
      </c>
      <c r="D82" s="8" t="s">
        <v>7</v>
      </c>
      <c r="E82" s="8" t="s">
        <v>93</v>
      </c>
      <c r="F82" s="21">
        <v>4</v>
      </c>
      <c r="G82" s="8">
        <v>7981.34</v>
      </c>
      <c r="H82" s="11" t="s">
        <v>60</v>
      </c>
      <c r="I82" s="11">
        <v>3.75</v>
      </c>
      <c r="J82" s="11">
        <v>26984.910540000001</v>
      </c>
      <c r="K82" s="11">
        <v>25624.890203999999</v>
      </c>
      <c r="L82" s="11">
        <v>24044.584884</v>
      </c>
      <c r="M82" s="11">
        <v>22409.208318000001</v>
      </c>
      <c r="N82" s="11">
        <v>20498.475522000001</v>
      </c>
      <c r="O82" s="11">
        <v>20498.475522000001</v>
      </c>
      <c r="P82" s="11">
        <v>29930.025000000001</v>
      </c>
      <c r="Q82" s="11">
        <v>29930.025000000001</v>
      </c>
      <c r="R82" s="11">
        <v>29930.025000000001</v>
      </c>
      <c r="S82" s="11">
        <v>29930.025000000001</v>
      </c>
      <c r="T82" s="11">
        <v>28907.615346000002</v>
      </c>
      <c r="U82" s="11">
        <v>28000.136988000002</v>
      </c>
    </row>
    <row r="83" spans="1:21" x14ac:dyDescent="0.25">
      <c r="A83" s="8">
        <v>81</v>
      </c>
      <c r="B83" s="8">
        <v>20.013400000000001</v>
      </c>
      <c r="C83" s="8">
        <v>85.0124</v>
      </c>
      <c r="D83" s="8" t="s">
        <v>7</v>
      </c>
      <c r="E83" s="8" t="s">
        <v>93</v>
      </c>
      <c r="F83" s="21">
        <v>2</v>
      </c>
      <c r="G83" s="8">
        <v>449.92</v>
      </c>
      <c r="H83" s="11" t="s">
        <v>60</v>
      </c>
      <c r="I83" s="11">
        <v>1.75</v>
      </c>
      <c r="J83" s="11">
        <v>621.33951999999999</v>
      </c>
      <c r="K83" s="11">
        <v>544.67315199999996</v>
      </c>
      <c r="L83" s="11">
        <v>455.58899200000002</v>
      </c>
      <c r="M83" s="11">
        <v>363.40038399999997</v>
      </c>
      <c r="N83" s="11">
        <v>255.68953600000003</v>
      </c>
      <c r="O83" s="11">
        <v>255.68953600000003</v>
      </c>
      <c r="P83" s="11">
        <v>787.36</v>
      </c>
      <c r="Q83" s="11">
        <v>787.36</v>
      </c>
      <c r="R83" s="11">
        <v>787.36</v>
      </c>
      <c r="S83" s="11">
        <v>787.36</v>
      </c>
      <c r="T83" s="11">
        <v>729.72524800000008</v>
      </c>
      <c r="U83" s="11">
        <v>678.569344</v>
      </c>
    </row>
    <row r="84" spans="1:21" x14ac:dyDescent="0.25">
      <c r="A84" s="8">
        <v>82</v>
      </c>
      <c r="B84" s="8">
        <v>20.010999999999999</v>
      </c>
      <c r="C84" s="8">
        <v>85.0107</v>
      </c>
      <c r="D84" s="8" t="s">
        <v>7</v>
      </c>
      <c r="E84" s="8" t="s">
        <v>93</v>
      </c>
      <c r="F84" s="21">
        <v>2</v>
      </c>
      <c r="G84" s="8">
        <v>1438.53</v>
      </c>
      <c r="H84" s="11" t="s">
        <v>60</v>
      </c>
      <c r="I84" s="11">
        <v>1.75</v>
      </c>
      <c r="J84" s="11">
        <v>1986.6099300000001</v>
      </c>
      <c r="K84" s="11">
        <v>1741.4844179999998</v>
      </c>
      <c r="L84" s="11">
        <v>1456.6554779999999</v>
      </c>
      <c r="M84" s="11">
        <v>1161.9006809999998</v>
      </c>
      <c r="N84" s="11">
        <v>817.51659900000004</v>
      </c>
      <c r="O84" s="11">
        <v>817.51659900000004</v>
      </c>
      <c r="P84" s="11">
        <v>2517.4274999999998</v>
      </c>
      <c r="Q84" s="11">
        <v>2517.4274999999998</v>
      </c>
      <c r="R84" s="11">
        <v>2517.4274999999998</v>
      </c>
      <c r="S84" s="11">
        <v>2517.4274999999998</v>
      </c>
      <c r="T84" s="11">
        <v>2333.1518070000002</v>
      </c>
      <c r="U84" s="11">
        <v>2169.5909459999998</v>
      </c>
    </row>
    <row r="85" spans="1:21" x14ac:dyDescent="0.25">
      <c r="A85" s="8">
        <v>83</v>
      </c>
      <c r="B85" s="8">
        <v>20.0107</v>
      </c>
      <c r="C85" s="8">
        <v>85.010400000000004</v>
      </c>
      <c r="D85" s="8" t="s">
        <v>7</v>
      </c>
      <c r="E85" s="8" t="s">
        <v>93</v>
      </c>
      <c r="F85" s="21">
        <v>2</v>
      </c>
      <c r="G85" s="8">
        <v>4445.29</v>
      </c>
      <c r="H85" s="11" t="s">
        <v>60</v>
      </c>
      <c r="I85" s="11">
        <v>1.75</v>
      </c>
      <c r="J85" s="11">
        <v>6138.9454900000001</v>
      </c>
      <c r="K85" s="11">
        <v>5381.4680739999994</v>
      </c>
      <c r="L85" s="11">
        <v>4501.3006539999997</v>
      </c>
      <c r="M85" s="11">
        <v>3590.4607329999999</v>
      </c>
      <c r="N85" s="11">
        <v>2526.2583070000001</v>
      </c>
      <c r="O85" s="11">
        <v>2526.2583070000001</v>
      </c>
      <c r="P85" s="11">
        <v>7779.2574999999997</v>
      </c>
      <c r="Q85" s="11">
        <v>7779.2574999999997</v>
      </c>
      <c r="R85" s="11">
        <v>7779.2574999999997</v>
      </c>
      <c r="S85" s="11">
        <v>7779.2574999999997</v>
      </c>
      <c r="T85" s="11">
        <v>7209.8158510000003</v>
      </c>
      <c r="U85" s="11">
        <v>6704.3863780000001</v>
      </c>
    </row>
    <row r="86" spans="1:21" x14ac:dyDescent="0.25">
      <c r="A86" s="8">
        <v>84</v>
      </c>
      <c r="B86" s="8">
        <v>20.008299999999998</v>
      </c>
      <c r="C86" s="8">
        <v>85.011700000000005</v>
      </c>
      <c r="D86" s="8" t="s">
        <v>7</v>
      </c>
      <c r="E86" s="8" t="s">
        <v>93</v>
      </c>
      <c r="F86" s="21">
        <v>4</v>
      </c>
      <c r="G86" s="8">
        <v>3804.96</v>
      </c>
      <c r="H86" s="11" t="s">
        <v>60</v>
      </c>
      <c r="I86" s="11">
        <v>3.75</v>
      </c>
      <c r="J86" s="11">
        <v>12864.56976</v>
      </c>
      <c r="K86" s="11">
        <v>12216.204576</v>
      </c>
      <c r="L86" s="11">
        <v>11462.822496000001</v>
      </c>
      <c r="M86" s="11">
        <v>10683.186192000001</v>
      </c>
      <c r="N86" s="11">
        <v>9772.2787680000001</v>
      </c>
      <c r="O86" s="11">
        <v>9772.2787680000001</v>
      </c>
      <c r="P86" s="11">
        <v>14268.6</v>
      </c>
      <c r="Q86" s="11">
        <v>14268.6</v>
      </c>
      <c r="R86" s="11">
        <v>14268.6</v>
      </c>
      <c r="S86" s="11">
        <v>14268.6</v>
      </c>
      <c r="T86" s="11">
        <v>13781.184624000001</v>
      </c>
      <c r="U86" s="11">
        <v>13348.560672</v>
      </c>
    </row>
    <row r="87" spans="1:21" x14ac:dyDescent="0.25">
      <c r="A87" s="8">
        <v>85</v>
      </c>
      <c r="B87" s="8">
        <v>20.008299999999998</v>
      </c>
      <c r="C87" s="8">
        <v>85.014899999999997</v>
      </c>
      <c r="D87" s="8" t="s">
        <v>7</v>
      </c>
      <c r="E87" s="8" t="s">
        <v>93</v>
      </c>
      <c r="F87" s="21">
        <v>3</v>
      </c>
      <c r="G87" s="8">
        <v>1675.89</v>
      </c>
      <c r="H87" s="11" t="s">
        <v>58</v>
      </c>
      <c r="I87" s="11">
        <v>2.75</v>
      </c>
      <c r="J87" s="11">
        <v>3990.2940900000008</v>
      </c>
      <c r="K87" s="11">
        <v>3704.7224340000002</v>
      </c>
      <c r="L87" s="11">
        <v>3372.8962140000003</v>
      </c>
      <c r="M87" s="11">
        <v>3029.5063530000002</v>
      </c>
      <c r="N87" s="11">
        <v>2628.2982870000001</v>
      </c>
      <c r="O87" s="11">
        <v>2628.2982870000001</v>
      </c>
      <c r="P87" s="11">
        <v>4608.6975000000002</v>
      </c>
      <c r="Q87" s="11">
        <v>4608.6975000000002</v>
      </c>
      <c r="R87" s="11">
        <v>4608.6975000000002</v>
      </c>
      <c r="S87" s="11">
        <v>4608.6975000000002</v>
      </c>
      <c r="T87" s="11">
        <v>4394.0159910000002</v>
      </c>
      <c r="U87" s="11">
        <v>4203.4672980000005</v>
      </c>
    </row>
    <row r="88" spans="1:21" x14ac:dyDescent="0.25">
      <c r="A88" s="8">
        <v>86</v>
      </c>
      <c r="B88" s="8">
        <v>20.008199999999999</v>
      </c>
      <c r="C88" s="8">
        <v>85.0154</v>
      </c>
      <c r="D88" s="8" t="s">
        <v>7</v>
      </c>
      <c r="E88" s="8" t="s">
        <v>93</v>
      </c>
      <c r="F88" s="21">
        <v>3</v>
      </c>
      <c r="G88" s="8">
        <v>2260.79</v>
      </c>
      <c r="H88" s="11" t="s">
        <v>58</v>
      </c>
      <c r="I88" s="11">
        <v>2.75</v>
      </c>
      <c r="J88" s="11">
        <v>5382.9409900000001</v>
      </c>
      <c r="K88" s="11">
        <v>4997.7023739999995</v>
      </c>
      <c r="L88" s="11">
        <v>4550.0659539999997</v>
      </c>
      <c r="M88" s="11">
        <v>4086.8300830000003</v>
      </c>
      <c r="N88" s="11">
        <v>3545.5969570000002</v>
      </c>
      <c r="O88" s="11">
        <v>3545.5969570000002</v>
      </c>
      <c r="P88" s="11">
        <v>6217.1724999999997</v>
      </c>
      <c r="Q88" s="11">
        <v>6217.1724999999997</v>
      </c>
      <c r="R88" s="11">
        <v>6217.1724999999997</v>
      </c>
      <c r="S88" s="11">
        <v>6217.1724999999997</v>
      </c>
      <c r="T88" s="11">
        <v>5927.5653010000005</v>
      </c>
      <c r="U88" s="11">
        <v>5670.5134779999998</v>
      </c>
    </row>
    <row r="89" spans="1:21" x14ac:dyDescent="0.25">
      <c r="A89" s="8">
        <v>87</v>
      </c>
      <c r="B89" s="8">
        <v>20.0047</v>
      </c>
      <c r="C89" s="8">
        <v>85.030900000000003</v>
      </c>
      <c r="D89" s="8" t="s">
        <v>7</v>
      </c>
      <c r="E89" s="8" t="s">
        <v>93</v>
      </c>
      <c r="F89" s="21">
        <v>3</v>
      </c>
      <c r="G89" s="8">
        <v>6272.84</v>
      </c>
      <c r="H89" s="11" t="s">
        <v>58</v>
      </c>
      <c r="I89" s="11">
        <v>2.75</v>
      </c>
      <c r="J89" s="11">
        <v>14935.632040000002</v>
      </c>
      <c r="K89" s="11">
        <v>13866.740104</v>
      </c>
      <c r="L89" s="11">
        <v>12624.717784</v>
      </c>
      <c r="M89" s="11">
        <v>11339.412868000001</v>
      </c>
      <c r="N89" s="11">
        <v>9837.6949720000011</v>
      </c>
      <c r="O89" s="11">
        <v>9837.6949720000011</v>
      </c>
      <c r="P89" s="11">
        <v>17250.310000000001</v>
      </c>
      <c r="Q89" s="11">
        <v>17250.310000000001</v>
      </c>
      <c r="R89" s="11">
        <v>17250.310000000001</v>
      </c>
      <c r="S89" s="11">
        <v>17250.310000000001</v>
      </c>
      <c r="T89" s="11">
        <v>16446.759196000003</v>
      </c>
      <c r="U89" s="11">
        <v>15733.537288</v>
      </c>
    </row>
    <row r="90" spans="1:21" x14ac:dyDescent="0.25">
      <c r="A90" s="8">
        <v>89</v>
      </c>
      <c r="B90" s="8">
        <v>20.006399999999999</v>
      </c>
      <c r="C90" s="8">
        <v>85.034999999999997</v>
      </c>
      <c r="D90" s="8" t="s">
        <v>7</v>
      </c>
      <c r="E90" s="8" t="s">
        <v>93</v>
      </c>
      <c r="F90" s="21">
        <v>3</v>
      </c>
      <c r="G90" s="8">
        <v>6464.03</v>
      </c>
      <c r="H90" s="11" t="s">
        <v>58</v>
      </c>
      <c r="I90" s="11">
        <v>2.75</v>
      </c>
      <c r="J90" s="11">
        <v>15390.855430000001</v>
      </c>
      <c r="K90" s="11">
        <v>14289.384717999999</v>
      </c>
      <c r="L90" s="11">
        <v>13009.506777999999</v>
      </c>
      <c r="M90" s="11">
        <v>11685.027031</v>
      </c>
      <c r="N90" s="11">
        <v>10137.538248999999</v>
      </c>
      <c r="O90" s="11">
        <v>10137.538248999999</v>
      </c>
      <c r="P90" s="11">
        <v>17776.0825</v>
      </c>
      <c r="Q90" s="11">
        <v>17776.0825</v>
      </c>
      <c r="R90" s="11">
        <v>17776.0825</v>
      </c>
      <c r="S90" s="11">
        <v>17776.0825</v>
      </c>
      <c r="T90" s="11">
        <v>16948.040257000001</v>
      </c>
      <c r="U90" s="11">
        <v>16213.080045999999</v>
      </c>
    </row>
    <row r="91" spans="1:21" x14ac:dyDescent="0.25">
      <c r="A91" s="8">
        <v>90</v>
      </c>
      <c r="B91" s="8">
        <v>20.010999999999999</v>
      </c>
      <c r="C91" s="8">
        <v>85.030199999999994</v>
      </c>
      <c r="D91" s="8" t="s">
        <v>7</v>
      </c>
      <c r="E91" s="8" t="s">
        <v>93</v>
      </c>
      <c r="F91" s="21">
        <v>3</v>
      </c>
      <c r="G91" s="8">
        <v>5907.99</v>
      </c>
      <c r="H91" s="11" t="s">
        <v>58</v>
      </c>
      <c r="I91" s="11">
        <v>2.75</v>
      </c>
      <c r="J91" s="11">
        <v>14066.924190000002</v>
      </c>
      <c r="K91" s="11">
        <v>13060.202694</v>
      </c>
      <c r="L91" s="11">
        <v>11890.420673999999</v>
      </c>
      <c r="M91" s="11">
        <v>10679.873523</v>
      </c>
      <c r="N91" s="11">
        <v>9265.500716999999</v>
      </c>
      <c r="O91" s="11">
        <v>9265.500716999999</v>
      </c>
      <c r="P91" s="11">
        <v>16246.9725</v>
      </c>
      <c r="Q91" s="11">
        <v>16246.9725</v>
      </c>
      <c r="R91" s="11">
        <v>16246.9725</v>
      </c>
      <c r="S91" s="11">
        <v>16246.9725</v>
      </c>
      <c r="T91" s="11">
        <v>15490.158981</v>
      </c>
      <c r="U91" s="11">
        <v>14818.420517999999</v>
      </c>
    </row>
    <row r="92" spans="1:21" x14ac:dyDescent="0.25">
      <c r="A92" s="8">
        <v>91</v>
      </c>
      <c r="B92" s="8">
        <v>20.011700000000001</v>
      </c>
      <c r="C92" s="8">
        <v>85.028999999999996</v>
      </c>
      <c r="D92" s="8" t="s">
        <v>7</v>
      </c>
      <c r="E92" s="8" t="s">
        <v>93</v>
      </c>
      <c r="F92" s="21">
        <v>2</v>
      </c>
      <c r="G92" s="8">
        <v>614.14</v>
      </c>
      <c r="H92" s="11" t="s">
        <v>58</v>
      </c>
      <c r="I92" s="11">
        <v>1.75</v>
      </c>
      <c r="J92" s="11">
        <v>848.12734</v>
      </c>
      <c r="K92" s="11">
        <v>743.4778839999999</v>
      </c>
      <c r="L92" s="11">
        <v>621.87816399999997</v>
      </c>
      <c r="M92" s="11">
        <v>496.04087799999996</v>
      </c>
      <c r="N92" s="11">
        <v>349.015762</v>
      </c>
      <c r="O92" s="11">
        <v>349.015762</v>
      </c>
      <c r="P92" s="11">
        <v>1074.7449999999999</v>
      </c>
      <c r="Q92" s="11">
        <v>1074.7449999999999</v>
      </c>
      <c r="R92" s="11">
        <v>1074.7449999999999</v>
      </c>
      <c r="S92" s="11">
        <v>1074.7449999999999</v>
      </c>
      <c r="T92" s="11">
        <v>996.073666</v>
      </c>
      <c r="U92" s="11">
        <v>926.245948</v>
      </c>
    </row>
    <row r="93" spans="1:21" x14ac:dyDescent="0.25">
      <c r="A93" s="8">
        <v>92</v>
      </c>
      <c r="B93" s="8">
        <v>20.011500000000002</v>
      </c>
      <c r="C93" s="8">
        <v>85.023300000000006</v>
      </c>
      <c r="D93" s="8" t="s">
        <v>7</v>
      </c>
      <c r="E93" s="8" t="s">
        <v>93</v>
      </c>
      <c r="F93" s="21">
        <v>4</v>
      </c>
      <c r="G93" s="8">
        <v>77727.92</v>
      </c>
      <c r="H93" s="11" t="s">
        <v>58</v>
      </c>
      <c r="I93" s="11">
        <v>3.75</v>
      </c>
      <c r="J93" s="11">
        <v>262798.09752000001</v>
      </c>
      <c r="K93" s="11">
        <v>249553.25995199999</v>
      </c>
      <c r="L93" s="11">
        <v>234163.131792</v>
      </c>
      <c r="M93" s="11">
        <v>218236.68098400001</v>
      </c>
      <c r="N93" s="11">
        <v>199628.61693599998</v>
      </c>
      <c r="O93" s="11">
        <v>199628.61693599998</v>
      </c>
      <c r="P93" s="11">
        <v>291479.7</v>
      </c>
      <c r="Q93" s="11">
        <v>291479.7</v>
      </c>
      <c r="R93" s="11">
        <v>291479.7</v>
      </c>
      <c r="S93" s="11">
        <v>291479.7</v>
      </c>
      <c r="T93" s="11">
        <v>281522.753448</v>
      </c>
      <c r="U93" s="11">
        <v>272685.08894400002</v>
      </c>
    </row>
    <row r="94" spans="1:21" x14ac:dyDescent="0.25">
      <c r="A94" s="8">
        <v>93</v>
      </c>
      <c r="B94" s="8">
        <v>20.013999999999999</v>
      </c>
      <c r="C94" s="8">
        <v>85.018199999999993</v>
      </c>
      <c r="D94" s="8" t="s">
        <v>7</v>
      </c>
      <c r="E94" s="8" t="s">
        <v>93</v>
      </c>
      <c r="F94" s="21">
        <v>4</v>
      </c>
      <c r="G94" s="8">
        <v>9555.99</v>
      </c>
      <c r="H94" s="11" t="s">
        <v>58</v>
      </c>
      <c r="I94" s="11">
        <v>3.75</v>
      </c>
      <c r="J94" s="11">
        <v>32308.802190000002</v>
      </c>
      <c r="K94" s="11">
        <v>30680.461493999999</v>
      </c>
      <c r="L94" s="11">
        <v>28788.375474</v>
      </c>
      <c r="M94" s="11">
        <v>26830.353123000001</v>
      </c>
      <c r="N94" s="11">
        <v>24542.649116999997</v>
      </c>
      <c r="O94" s="11">
        <v>24542.649116999997</v>
      </c>
      <c r="P94" s="11">
        <v>35834.962500000001</v>
      </c>
      <c r="Q94" s="11">
        <v>35834.962500000001</v>
      </c>
      <c r="R94" s="11">
        <v>35834.962500000001</v>
      </c>
      <c r="S94" s="11">
        <v>35834.962500000001</v>
      </c>
      <c r="T94" s="11">
        <v>34610.840181</v>
      </c>
      <c r="U94" s="11">
        <v>33524.324117999997</v>
      </c>
    </row>
    <row r="95" spans="1:21" x14ac:dyDescent="0.25">
      <c r="A95" s="8">
        <v>94</v>
      </c>
      <c r="B95" s="8">
        <v>20.013300000000001</v>
      </c>
      <c r="C95" s="8">
        <v>85.025000000000006</v>
      </c>
      <c r="D95" s="8" t="s">
        <v>7</v>
      </c>
      <c r="E95" s="8" t="s">
        <v>93</v>
      </c>
      <c r="F95" s="21">
        <v>4</v>
      </c>
      <c r="G95" s="8">
        <v>18541.63</v>
      </c>
      <c r="H95" s="11" t="s">
        <v>58</v>
      </c>
      <c r="I95" s="11">
        <v>3.75</v>
      </c>
      <c r="J95" s="11">
        <v>62689.251030000007</v>
      </c>
      <c r="K95" s="11">
        <v>59529.757278000005</v>
      </c>
      <c r="L95" s="11">
        <v>55858.514538000003</v>
      </c>
      <c r="M95" s="11">
        <v>52059.334551000007</v>
      </c>
      <c r="N95" s="11">
        <v>47620.468328999996</v>
      </c>
      <c r="O95" s="11">
        <v>47620.468328999996</v>
      </c>
      <c r="P95" s="11">
        <v>69531.112500000003</v>
      </c>
      <c r="Q95" s="11">
        <v>69531.112500000003</v>
      </c>
      <c r="R95" s="11">
        <v>69531.112500000003</v>
      </c>
      <c r="S95" s="11">
        <v>69531.112500000003</v>
      </c>
      <c r="T95" s="11">
        <v>67155.929697</v>
      </c>
      <c r="U95" s="11">
        <v>65047.746366000007</v>
      </c>
    </row>
    <row r="96" spans="1:21" x14ac:dyDescent="0.25">
      <c r="A96" s="8">
        <v>95</v>
      </c>
      <c r="B96" s="8">
        <v>20.012599999999999</v>
      </c>
      <c r="C96" s="8">
        <v>85.0274</v>
      </c>
      <c r="D96" s="8" t="s">
        <v>7</v>
      </c>
      <c r="E96" s="8" t="s">
        <v>93</v>
      </c>
      <c r="F96" s="21">
        <v>3</v>
      </c>
      <c r="G96" s="8">
        <v>9692.23</v>
      </c>
      <c r="H96" s="11" t="s">
        <v>58</v>
      </c>
      <c r="I96" s="11">
        <v>2.75</v>
      </c>
      <c r="J96" s="11">
        <v>23077.199630000003</v>
      </c>
      <c r="K96" s="11">
        <v>21425.643637999998</v>
      </c>
      <c r="L96" s="11">
        <v>19506.582097999999</v>
      </c>
      <c r="M96" s="11">
        <v>17520.644171</v>
      </c>
      <c r="N96" s="11">
        <v>15200.324309</v>
      </c>
      <c r="O96" s="11">
        <v>15200.324309</v>
      </c>
      <c r="P96" s="11">
        <v>26653.6325</v>
      </c>
      <c r="Q96" s="11">
        <v>26653.6325</v>
      </c>
      <c r="R96" s="11">
        <v>26653.6325</v>
      </c>
      <c r="S96" s="11">
        <v>26653.6325</v>
      </c>
      <c r="T96" s="11">
        <v>25412.057837</v>
      </c>
      <c r="U96" s="11">
        <v>24310.051285999998</v>
      </c>
    </row>
    <row r="97" spans="1:21" x14ac:dyDescent="0.25">
      <c r="A97" s="8">
        <v>96</v>
      </c>
      <c r="B97" s="8">
        <v>20.013400000000001</v>
      </c>
      <c r="C97" s="8">
        <v>85.023499999999999</v>
      </c>
      <c r="D97" s="8" t="s">
        <v>7</v>
      </c>
      <c r="E97" s="8" t="s">
        <v>93</v>
      </c>
      <c r="F97" s="21">
        <v>3</v>
      </c>
      <c r="G97" s="8">
        <v>6920.4</v>
      </c>
      <c r="H97" s="11" t="s">
        <v>58</v>
      </c>
      <c r="I97" s="11">
        <v>2.75</v>
      </c>
      <c r="J97" s="11">
        <v>16477.472400000002</v>
      </c>
      <c r="K97" s="11">
        <v>15298.236239999998</v>
      </c>
      <c r="L97" s="11">
        <v>13927.997039999998</v>
      </c>
      <c r="M97" s="11">
        <v>12510.007079999999</v>
      </c>
      <c r="N97" s="11">
        <v>10853.26332</v>
      </c>
      <c r="O97" s="11">
        <v>10853.26332</v>
      </c>
      <c r="P97" s="11">
        <v>19031.099999999999</v>
      </c>
      <c r="Q97" s="11">
        <v>19031.099999999999</v>
      </c>
      <c r="R97" s="11">
        <v>19031.099999999999</v>
      </c>
      <c r="S97" s="11">
        <v>19031.099999999999</v>
      </c>
      <c r="T97" s="11">
        <v>18144.59676</v>
      </c>
      <c r="U97" s="11">
        <v>17357.74728</v>
      </c>
    </row>
    <row r="98" spans="1:21" x14ac:dyDescent="0.25">
      <c r="A98" s="8">
        <v>97</v>
      </c>
      <c r="B98" s="8">
        <v>20.0151</v>
      </c>
      <c r="C98" s="8">
        <v>85.025300000000001</v>
      </c>
      <c r="D98" s="8" t="s">
        <v>7</v>
      </c>
      <c r="E98" s="8" t="s">
        <v>93</v>
      </c>
      <c r="F98" s="21">
        <v>3</v>
      </c>
      <c r="G98" s="8">
        <v>431.47</v>
      </c>
      <c r="H98" s="11" t="s">
        <v>58</v>
      </c>
      <c r="I98" s="11">
        <v>2.75</v>
      </c>
      <c r="J98" s="11">
        <v>1027.3300700000002</v>
      </c>
      <c r="K98" s="11">
        <v>953.80758200000002</v>
      </c>
      <c r="L98" s="11">
        <v>868.37652200000002</v>
      </c>
      <c r="M98" s="11">
        <v>779.96831900000006</v>
      </c>
      <c r="N98" s="11">
        <v>676.6744010000001</v>
      </c>
      <c r="O98" s="11">
        <v>676.6744010000001</v>
      </c>
      <c r="P98" s="11">
        <v>1186.5425</v>
      </c>
      <c r="Q98" s="11">
        <v>1186.5425</v>
      </c>
      <c r="R98" s="11">
        <v>1186.5425</v>
      </c>
      <c r="S98" s="11">
        <v>1186.5425</v>
      </c>
      <c r="T98" s="11">
        <v>1131.271193</v>
      </c>
      <c r="U98" s="11">
        <v>1082.2130540000001</v>
      </c>
    </row>
    <row r="99" spans="1:21" x14ac:dyDescent="0.25">
      <c r="A99" s="8">
        <v>98</v>
      </c>
      <c r="B99" s="8">
        <v>20.0167</v>
      </c>
      <c r="C99" s="8">
        <v>85.024900000000002</v>
      </c>
      <c r="D99" s="8" t="s">
        <v>7</v>
      </c>
      <c r="E99" s="8" t="s">
        <v>93</v>
      </c>
      <c r="F99" s="21">
        <v>4</v>
      </c>
      <c r="G99" s="8">
        <v>1313.77</v>
      </c>
      <c r="H99" s="11" t="s">
        <v>58</v>
      </c>
      <c r="I99" s="11">
        <v>3.75</v>
      </c>
      <c r="J99" s="11">
        <v>4441.8563700000004</v>
      </c>
      <c r="K99" s="11">
        <v>4217.9899619999997</v>
      </c>
      <c r="L99" s="11">
        <v>3957.8635019999997</v>
      </c>
      <c r="M99" s="11">
        <v>3688.6720289999998</v>
      </c>
      <c r="N99" s="11">
        <v>3374.1554909999995</v>
      </c>
      <c r="O99" s="11">
        <v>3374.1554909999995</v>
      </c>
      <c r="P99" s="11">
        <v>4926.6374999999998</v>
      </c>
      <c r="Q99" s="11">
        <v>4926.6374999999998</v>
      </c>
      <c r="R99" s="11">
        <v>4926.6374999999998</v>
      </c>
      <c r="S99" s="11">
        <v>4926.6374999999998</v>
      </c>
      <c r="T99" s="11">
        <v>4758.3435630000004</v>
      </c>
      <c r="U99" s="11">
        <v>4608.9679139999998</v>
      </c>
    </row>
    <row r="100" spans="1:21" x14ac:dyDescent="0.25">
      <c r="A100" s="8">
        <v>99</v>
      </c>
      <c r="B100" s="8">
        <v>20.018699999999999</v>
      </c>
      <c r="C100" s="8">
        <v>85.022800000000004</v>
      </c>
      <c r="D100" s="8" t="s">
        <v>7</v>
      </c>
      <c r="E100" s="8" t="s">
        <v>93</v>
      </c>
      <c r="F100" s="21">
        <v>4</v>
      </c>
      <c r="G100" s="8">
        <v>8623.17</v>
      </c>
      <c r="H100" s="11" t="s">
        <v>58</v>
      </c>
      <c r="I100" s="11">
        <v>3.75</v>
      </c>
      <c r="J100" s="11">
        <v>29154.93777</v>
      </c>
      <c r="K100" s="11">
        <v>27685.549601999999</v>
      </c>
      <c r="L100" s="11">
        <v>25978.161941999999</v>
      </c>
      <c r="M100" s="11">
        <v>24211.274409000001</v>
      </c>
      <c r="N100" s="11">
        <v>22146.887510999997</v>
      </c>
      <c r="O100" s="11">
        <v>22146.887510999997</v>
      </c>
      <c r="P100" s="11">
        <v>32336.887500000001</v>
      </c>
      <c r="Q100" s="11">
        <v>32336.887500000001</v>
      </c>
      <c r="R100" s="11">
        <v>32336.887500000001</v>
      </c>
      <c r="S100" s="11">
        <v>32336.887500000001</v>
      </c>
      <c r="T100" s="11">
        <v>31232.259423</v>
      </c>
      <c r="U100" s="11">
        <v>30251.804994000002</v>
      </c>
    </row>
    <row r="101" spans="1:21" x14ac:dyDescent="0.25">
      <c r="A101" s="8">
        <v>100</v>
      </c>
      <c r="B101" s="8">
        <v>20.0183</v>
      </c>
      <c r="C101" s="8">
        <v>85.026399999999995</v>
      </c>
      <c r="D101" s="8" t="s">
        <v>7</v>
      </c>
      <c r="E101" s="8" t="s">
        <v>93</v>
      </c>
      <c r="F101" s="21">
        <v>3</v>
      </c>
      <c r="G101" s="8">
        <v>1037.19</v>
      </c>
      <c r="H101" s="11" t="s">
        <v>58</v>
      </c>
      <c r="I101" s="11">
        <v>2.75</v>
      </c>
      <c r="J101" s="11">
        <v>2469.5493900000006</v>
      </c>
      <c r="K101" s="11">
        <v>2292.812214</v>
      </c>
      <c r="L101" s="11">
        <v>2087.448594</v>
      </c>
      <c r="M101" s="11">
        <v>1874.9283630000002</v>
      </c>
      <c r="N101" s="11">
        <v>1626.6250770000001</v>
      </c>
      <c r="O101" s="11">
        <v>1626.6250770000001</v>
      </c>
      <c r="P101" s="11">
        <v>2852.2725</v>
      </c>
      <c r="Q101" s="11">
        <v>2852.2725</v>
      </c>
      <c r="R101" s="11">
        <v>2852.2725</v>
      </c>
      <c r="S101" s="11">
        <v>2852.2725</v>
      </c>
      <c r="T101" s="11">
        <v>2719.4084610000004</v>
      </c>
      <c r="U101" s="11">
        <v>2601.4799579999999</v>
      </c>
    </row>
    <row r="102" spans="1:21" x14ac:dyDescent="0.25">
      <c r="A102" s="8">
        <v>101</v>
      </c>
      <c r="B102" s="8">
        <v>20.017299999999999</v>
      </c>
      <c r="C102" s="8">
        <v>85.028099999999995</v>
      </c>
      <c r="D102" s="8" t="s">
        <v>7</v>
      </c>
      <c r="E102" s="8" t="s">
        <v>93</v>
      </c>
      <c r="F102" s="21">
        <v>4</v>
      </c>
      <c r="G102" s="8">
        <v>10683.82</v>
      </c>
      <c r="H102" s="11" t="s">
        <v>58</v>
      </c>
      <c r="I102" s="11">
        <v>3.75</v>
      </c>
      <c r="J102" s="11">
        <v>36121.995419999999</v>
      </c>
      <c r="K102" s="11">
        <v>34301.472492000001</v>
      </c>
      <c r="L102" s="11">
        <v>32186.076131999998</v>
      </c>
      <c r="M102" s="11">
        <v>29996.961414000001</v>
      </c>
      <c r="N102" s="11">
        <v>27439.254905999998</v>
      </c>
      <c r="O102" s="11">
        <v>27439.254905999998</v>
      </c>
      <c r="P102" s="11">
        <v>40064.324999999997</v>
      </c>
      <c r="Q102" s="11">
        <v>40064.324999999997</v>
      </c>
      <c r="R102" s="11">
        <v>40064.324999999997</v>
      </c>
      <c r="S102" s="11">
        <v>40064.324999999997</v>
      </c>
      <c r="T102" s="11">
        <v>38695.727658000003</v>
      </c>
      <c r="U102" s="11">
        <v>37480.977323999999</v>
      </c>
    </row>
    <row r="103" spans="1:21" x14ac:dyDescent="0.25">
      <c r="A103" s="8">
        <v>102</v>
      </c>
      <c r="B103" s="8">
        <v>20.015799999999999</v>
      </c>
      <c r="C103" s="8">
        <v>85.029200000000003</v>
      </c>
      <c r="D103" s="8" t="s">
        <v>7</v>
      </c>
      <c r="E103" s="8" t="s">
        <v>93</v>
      </c>
      <c r="F103" s="21">
        <v>4</v>
      </c>
      <c r="G103" s="8">
        <v>6495.81</v>
      </c>
      <c r="H103" s="11" t="s">
        <v>58</v>
      </c>
      <c r="I103" s="11">
        <v>3.75</v>
      </c>
      <c r="J103" s="11">
        <v>21962.333610000001</v>
      </c>
      <c r="K103" s="11">
        <v>20855.447586000002</v>
      </c>
      <c r="L103" s="11">
        <v>19569.277206000002</v>
      </c>
      <c r="M103" s="11">
        <v>18238.285737000002</v>
      </c>
      <c r="N103" s="11">
        <v>16683.188823</v>
      </c>
      <c r="O103" s="11">
        <v>16683.188823</v>
      </c>
      <c r="P103" s="11">
        <v>24359.287500000002</v>
      </c>
      <c r="Q103" s="11">
        <v>24359.287500000002</v>
      </c>
      <c r="R103" s="11">
        <v>24359.287500000002</v>
      </c>
      <c r="S103" s="11">
        <v>24359.287500000002</v>
      </c>
      <c r="T103" s="11">
        <v>23527.174239000004</v>
      </c>
      <c r="U103" s="11">
        <v>22788.600642000001</v>
      </c>
    </row>
    <row r="104" spans="1:21" x14ac:dyDescent="0.25">
      <c r="A104" s="8">
        <v>103</v>
      </c>
      <c r="B104" s="8">
        <v>20.016300000000001</v>
      </c>
      <c r="C104" s="8">
        <v>85.029499999999999</v>
      </c>
      <c r="D104" s="8" t="s">
        <v>7</v>
      </c>
      <c r="E104" s="8" t="s">
        <v>93</v>
      </c>
      <c r="F104" s="21">
        <v>4</v>
      </c>
      <c r="G104" s="8">
        <v>2316.37</v>
      </c>
      <c r="H104" s="11" t="s">
        <v>58</v>
      </c>
      <c r="I104" s="11">
        <v>3.75</v>
      </c>
      <c r="J104" s="11">
        <v>7831.6469699999998</v>
      </c>
      <c r="K104" s="11">
        <v>7436.9375219999993</v>
      </c>
      <c r="L104" s="11">
        <v>6978.2962619999998</v>
      </c>
      <c r="M104" s="11">
        <v>6503.6720489999998</v>
      </c>
      <c r="N104" s="11">
        <v>5949.1330709999993</v>
      </c>
      <c r="O104" s="11">
        <v>5949.1330709999993</v>
      </c>
      <c r="P104" s="11">
        <v>8686.3874999999989</v>
      </c>
      <c r="Q104" s="11">
        <v>8686.3874999999989</v>
      </c>
      <c r="R104" s="11">
        <v>8686.3874999999989</v>
      </c>
      <c r="S104" s="11">
        <v>8686.3874999999989</v>
      </c>
      <c r="T104" s="11">
        <v>8389.6605029999992</v>
      </c>
      <c r="U104" s="11">
        <v>8126.2892339999999</v>
      </c>
    </row>
    <row r="105" spans="1:21" x14ac:dyDescent="0.25">
      <c r="A105" s="8">
        <v>104</v>
      </c>
      <c r="B105" s="8">
        <v>20.014099999999999</v>
      </c>
      <c r="C105" s="8">
        <v>85.03</v>
      </c>
      <c r="D105" s="8" t="s">
        <v>7</v>
      </c>
      <c r="E105" s="8" t="s">
        <v>93</v>
      </c>
      <c r="F105" s="21">
        <v>2</v>
      </c>
      <c r="G105" s="8">
        <v>882.12</v>
      </c>
      <c r="H105" s="11" t="s">
        <v>58</v>
      </c>
      <c r="I105" s="11">
        <v>1.75</v>
      </c>
      <c r="J105" s="11">
        <v>1218.2077200000001</v>
      </c>
      <c r="K105" s="11">
        <v>1067.894472</v>
      </c>
      <c r="L105" s="11">
        <v>893.23471199999994</v>
      </c>
      <c r="M105" s="11">
        <v>712.48832400000003</v>
      </c>
      <c r="N105" s="11">
        <v>501.30879600000003</v>
      </c>
      <c r="O105" s="11">
        <v>501.30879600000003</v>
      </c>
      <c r="P105" s="11">
        <v>1543.71</v>
      </c>
      <c r="Q105" s="11">
        <v>1543.71</v>
      </c>
      <c r="R105" s="11">
        <v>1543.71</v>
      </c>
      <c r="S105" s="11">
        <v>1543.71</v>
      </c>
      <c r="T105" s="11">
        <v>1430.7104280000001</v>
      </c>
      <c r="U105" s="11">
        <v>1330.413384</v>
      </c>
    </row>
    <row r="106" spans="1:21" x14ac:dyDescent="0.25">
      <c r="A106" s="8">
        <v>105</v>
      </c>
      <c r="B106" s="8">
        <v>20.0154</v>
      </c>
      <c r="C106" s="8">
        <v>85.032799999999995</v>
      </c>
      <c r="D106" s="8" t="s">
        <v>7</v>
      </c>
      <c r="E106" s="8" t="s">
        <v>93</v>
      </c>
      <c r="F106" s="21">
        <v>4</v>
      </c>
      <c r="G106" s="8">
        <v>20631.64</v>
      </c>
      <c r="H106" s="11" t="s">
        <v>58</v>
      </c>
      <c r="I106" s="11">
        <v>3.75</v>
      </c>
      <c r="J106" s="11">
        <v>69755.574840000001</v>
      </c>
      <c r="K106" s="11">
        <v>66239.943383999998</v>
      </c>
      <c r="L106" s="11">
        <v>62154.878663999996</v>
      </c>
      <c r="M106" s="11">
        <v>57927.455628000003</v>
      </c>
      <c r="N106" s="11">
        <v>52988.241011999991</v>
      </c>
      <c r="O106" s="11">
        <v>52988.241011999991</v>
      </c>
      <c r="P106" s="11">
        <v>77368.649999999994</v>
      </c>
      <c r="Q106" s="11">
        <v>77368.649999999994</v>
      </c>
      <c r="R106" s="11">
        <v>77368.649999999994</v>
      </c>
      <c r="S106" s="11">
        <v>77368.649999999994</v>
      </c>
      <c r="T106" s="11">
        <v>74725.736915999994</v>
      </c>
      <c r="U106" s="11">
        <v>72379.919448000001</v>
      </c>
    </row>
    <row r="107" spans="1:21" x14ac:dyDescent="0.25">
      <c r="A107" s="8">
        <v>106</v>
      </c>
      <c r="B107" s="8">
        <v>20.017199999999999</v>
      </c>
      <c r="C107" s="8">
        <v>85.038799999999995</v>
      </c>
      <c r="D107" s="8" t="s">
        <v>7</v>
      </c>
      <c r="E107" s="8" t="s">
        <v>93</v>
      </c>
      <c r="F107" s="21">
        <v>4</v>
      </c>
      <c r="G107" s="8">
        <v>9289.52</v>
      </c>
      <c r="H107" s="11" t="s">
        <v>58</v>
      </c>
      <c r="I107" s="11">
        <v>3.75</v>
      </c>
      <c r="J107" s="11">
        <v>31407.867120000003</v>
      </c>
      <c r="K107" s="11">
        <v>29824.932912</v>
      </c>
      <c r="L107" s="11">
        <v>27985.607952000002</v>
      </c>
      <c r="M107" s="11">
        <v>26082.185304000002</v>
      </c>
      <c r="N107" s="11">
        <v>23858.274215999998</v>
      </c>
      <c r="O107" s="11">
        <v>23858.274215999998</v>
      </c>
      <c r="P107" s="11">
        <v>34835.700000000004</v>
      </c>
      <c r="Q107" s="11">
        <v>34835.700000000004</v>
      </c>
      <c r="R107" s="11">
        <v>34835.700000000004</v>
      </c>
      <c r="S107" s="11">
        <v>34835.700000000004</v>
      </c>
      <c r="T107" s="11">
        <v>33645.712488000005</v>
      </c>
      <c r="U107" s="11">
        <v>32589.494064000002</v>
      </c>
    </row>
    <row r="108" spans="1:21" x14ac:dyDescent="0.25">
      <c r="A108" s="8">
        <v>107</v>
      </c>
      <c r="B108" s="8">
        <v>20.019500000000001</v>
      </c>
      <c r="C108" s="8">
        <v>85.043700000000001</v>
      </c>
      <c r="D108" s="8" t="s">
        <v>7</v>
      </c>
      <c r="E108" s="8" t="s">
        <v>93</v>
      </c>
      <c r="F108" s="21">
        <v>4</v>
      </c>
      <c r="G108" s="8">
        <v>11403.69</v>
      </c>
      <c r="H108" s="11" t="s">
        <v>58</v>
      </c>
      <c r="I108" s="11">
        <v>3.75</v>
      </c>
      <c r="J108" s="11">
        <v>38555.875890000003</v>
      </c>
      <c r="K108" s="11">
        <v>36612.687114</v>
      </c>
      <c r="L108" s="11">
        <v>34354.756494000001</v>
      </c>
      <c r="M108" s="11">
        <v>32018.140413000001</v>
      </c>
      <c r="N108" s="11">
        <v>29288.097027</v>
      </c>
      <c r="O108" s="11">
        <v>29288.097027</v>
      </c>
      <c r="P108" s="11">
        <v>42763.837500000001</v>
      </c>
      <c r="Q108" s="11">
        <v>42763.837500000001</v>
      </c>
      <c r="R108" s="11">
        <v>42763.837500000001</v>
      </c>
      <c r="S108" s="11">
        <v>42763.837500000001</v>
      </c>
      <c r="T108" s="11">
        <v>41303.024811000003</v>
      </c>
      <c r="U108" s="11">
        <v>40006.425258000003</v>
      </c>
    </row>
    <row r="109" spans="1:21" x14ac:dyDescent="0.25">
      <c r="A109" s="8">
        <v>108</v>
      </c>
      <c r="B109" s="8">
        <v>20.0184</v>
      </c>
      <c r="C109" s="8">
        <v>85.043000000000006</v>
      </c>
      <c r="D109" s="8" t="s">
        <v>7</v>
      </c>
      <c r="E109" s="8" t="s">
        <v>93</v>
      </c>
      <c r="F109" s="21">
        <v>2</v>
      </c>
      <c r="G109" s="8">
        <v>1136.1400000000001</v>
      </c>
      <c r="H109" s="11" t="s">
        <v>58</v>
      </c>
      <c r="I109" s="11">
        <v>1.75</v>
      </c>
      <c r="J109" s="11">
        <v>1569.0093400000001</v>
      </c>
      <c r="K109" s="11">
        <v>1375.4110840000001</v>
      </c>
      <c r="L109" s="11">
        <v>1150.4553640000001</v>
      </c>
      <c r="M109" s="11">
        <v>917.66027800000006</v>
      </c>
      <c r="N109" s="11">
        <v>645.66836200000012</v>
      </c>
      <c r="O109" s="11">
        <v>645.66836200000012</v>
      </c>
      <c r="P109" s="11">
        <v>1988.2450000000001</v>
      </c>
      <c r="Q109" s="11">
        <v>1988.2450000000001</v>
      </c>
      <c r="R109" s="11">
        <v>1988.2450000000001</v>
      </c>
      <c r="S109" s="11">
        <v>1988.2450000000001</v>
      </c>
      <c r="T109" s="11">
        <v>1842.7054660000003</v>
      </c>
      <c r="U109" s="11">
        <v>1713.5263480000001</v>
      </c>
    </row>
    <row r="110" spans="1:21" x14ac:dyDescent="0.25">
      <c r="A110" s="8">
        <v>109</v>
      </c>
      <c r="B110" s="8">
        <v>20.026499999999999</v>
      </c>
      <c r="C110" s="8">
        <v>85.046300000000002</v>
      </c>
      <c r="D110" s="8" t="s">
        <v>7</v>
      </c>
      <c r="E110" s="8" t="s">
        <v>93</v>
      </c>
      <c r="F110" s="21">
        <v>2.5</v>
      </c>
      <c r="G110" s="8">
        <v>1994.34</v>
      </c>
      <c r="H110" s="11" t="s">
        <v>58</v>
      </c>
      <c r="I110" s="11">
        <v>2.25</v>
      </c>
      <c r="J110" s="11">
        <v>3751.3535400000001</v>
      </c>
      <c r="K110" s="11">
        <v>3411.5180039999996</v>
      </c>
      <c r="L110" s="11">
        <v>3016.6386839999996</v>
      </c>
      <c r="M110" s="11">
        <v>2607.9984180000001</v>
      </c>
      <c r="N110" s="11">
        <v>2130.553422</v>
      </c>
      <c r="O110" s="11">
        <v>2130.553422</v>
      </c>
      <c r="P110" s="11">
        <v>4487.2649999999994</v>
      </c>
      <c r="Q110" s="11">
        <v>4487.2649999999994</v>
      </c>
      <c r="R110" s="11">
        <v>4487.2649999999994</v>
      </c>
      <c r="S110" s="11">
        <v>4487.2649999999994</v>
      </c>
      <c r="T110" s="11">
        <v>4231.7900460000001</v>
      </c>
      <c r="U110" s="11">
        <v>4005.0335879999998</v>
      </c>
    </row>
    <row r="111" spans="1:21" x14ac:dyDescent="0.25">
      <c r="A111" s="8">
        <v>110</v>
      </c>
      <c r="B111" s="8">
        <v>20.028500000000001</v>
      </c>
      <c r="C111" s="8">
        <v>85.047200000000004</v>
      </c>
      <c r="D111" s="8" t="s">
        <v>7</v>
      </c>
      <c r="E111" s="8" t="s">
        <v>93</v>
      </c>
      <c r="F111" s="21">
        <v>3</v>
      </c>
      <c r="G111" s="8">
        <v>1414.12</v>
      </c>
      <c r="H111" s="11" t="s">
        <v>58</v>
      </c>
      <c r="I111" s="11">
        <v>2.75</v>
      </c>
      <c r="J111" s="11">
        <v>3367.0197200000002</v>
      </c>
      <c r="K111" s="11">
        <v>3126.0536719999996</v>
      </c>
      <c r="L111" s="11">
        <v>2846.0579119999998</v>
      </c>
      <c r="M111" s="11">
        <v>2556.3047240000001</v>
      </c>
      <c r="N111" s="11">
        <v>2217.764396</v>
      </c>
      <c r="O111" s="11">
        <v>2217.764396</v>
      </c>
      <c r="P111" s="11">
        <v>3888.83</v>
      </c>
      <c r="Q111" s="11">
        <v>3888.83</v>
      </c>
      <c r="R111" s="11">
        <v>3888.83</v>
      </c>
      <c r="S111" s="11">
        <v>3888.83</v>
      </c>
      <c r="T111" s="11">
        <v>3707.6812279999999</v>
      </c>
      <c r="U111" s="11">
        <v>3546.8957839999998</v>
      </c>
    </row>
    <row r="112" spans="1:21" x14ac:dyDescent="0.25">
      <c r="A112" s="8">
        <v>111</v>
      </c>
      <c r="B112" s="8">
        <v>20.0307</v>
      </c>
      <c r="C112" s="8">
        <v>85.044899999999998</v>
      </c>
      <c r="D112" s="8" t="s">
        <v>7</v>
      </c>
      <c r="E112" s="8" t="s">
        <v>93</v>
      </c>
      <c r="F112" s="21">
        <v>2</v>
      </c>
      <c r="G112" s="8">
        <v>564.21</v>
      </c>
      <c r="H112" s="11" t="s">
        <v>58</v>
      </c>
      <c r="I112" s="11">
        <v>1.75</v>
      </c>
      <c r="J112" s="11">
        <v>779.17401000000007</v>
      </c>
      <c r="K112" s="11">
        <v>683.03262599999994</v>
      </c>
      <c r="L112" s="11">
        <v>571.31904599999996</v>
      </c>
      <c r="M112" s="11">
        <v>455.71241700000002</v>
      </c>
      <c r="N112" s="11">
        <v>320.64054300000004</v>
      </c>
      <c r="O112" s="11">
        <v>320.64054300000004</v>
      </c>
      <c r="P112" s="11">
        <v>987.36750000000006</v>
      </c>
      <c r="Q112" s="11">
        <v>987.36750000000006</v>
      </c>
      <c r="R112" s="11">
        <v>987.36750000000006</v>
      </c>
      <c r="S112" s="11">
        <v>987.36750000000006</v>
      </c>
      <c r="T112" s="11">
        <v>915.09219900000016</v>
      </c>
      <c r="U112" s="11">
        <v>850.94152200000008</v>
      </c>
    </row>
    <row r="113" spans="1:21" x14ac:dyDescent="0.25">
      <c r="A113" s="8">
        <v>112</v>
      </c>
      <c r="B113" s="8">
        <v>20.022400000000001</v>
      </c>
      <c r="C113" s="8">
        <v>85.020099999999999</v>
      </c>
      <c r="D113" s="8" t="s">
        <v>7</v>
      </c>
      <c r="E113" s="8" t="s">
        <v>93</v>
      </c>
      <c r="F113" s="21">
        <v>4</v>
      </c>
      <c r="G113" s="8">
        <v>5738.72</v>
      </c>
      <c r="H113" s="11" t="s">
        <v>58</v>
      </c>
      <c r="I113" s="11">
        <v>3.75</v>
      </c>
      <c r="J113" s="11">
        <v>19402.612320000004</v>
      </c>
      <c r="K113" s="11">
        <v>18424.734432000001</v>
      </c>
      <c r="L113" s="11">
        <v>17288.467872000001</v>
      </c>
      <c r="M113" s="11">
        <v>16112.604144000001</v>
      </c>
      <c r="N113" s="11">
        <v>14738.754575999999</v>
      </c>
      <c r="O113" s="11">
        <v>14738.754575999999</v>
      </c>
      <c r="P113" s="11">
        <v>21520.2</v>
      </c>
      <c r="Q113" s="11">
        <v>21520.2</v>
      </c>
      <c r="R113" s="11">
        <v>21520.2</v>
      </c>
      <c r="S113" s="11">
        <v>21520.2</v>
      </c>
      <c r="T113" s="11">
        <v>20785.069968</v>
      </c>
      <c r="U113" s="11">
        <v>20132.577504000001</v>
      </c>
    </row>
    <row r="114" spans="1:21" x14ac:dyDescent="0.25">
      <c r="A114" s="8">
        <v>113</v>
      </c>
      <c r="B114" s="8">
        <v>20.027799999999999</v>
      </c>
      <c r="C114" s="8">
        <v>85.0227</v>
      </c>
      <c r="D114" s="8" t="s">
        <v>7</v>
      </c>
      <c r="E114" s="8" t="s">
        <v>93</v>
      </c>
      <c r="F114" s="21">
        <v>4</v>
      </c>
      <c r="G114" s="8">
        <v>3601.39</v>
      </c>
      <c r="H114" s="11" t="s">
        <v>58</v>
      </c>
      <c r="I114" s="11">
        <v>3.75</v>
      </c>
      <c r="J114" s="11">
        <v>12176.299590000001</v>
      </c>
      <c r="K114" s="11">
        <v>11562.622733999999</v>
      </c>
      <c r="L114" s="11">
        <v>10849.547514</v>
      </c>
      <c r="M114" s="11">
        <v>10111.622702999999</v>
      </c>
      <c r="N114" s="11">
        <v>9249.4499369999994</v>
      </c>
      <c r="O114" s="11">
        <v>9249.4499369999994</v>
      </c>
      <c r="P114" s="11">
        <v>13505.2125</v>
      </c>
      <c r="Q114" s="11">
        <v>13505.2125</v>
      </c>
      <c r="R114" s="11">
        <v>13505.2125</v>
      </c>
      <c r="S114" s="11">
        <v>13505.2125</v>
      </c>
      <c r="T114" s="11">
        <v>13043.874441</v>
      </c>
      <c r="U114" s="11">
        <v>12634.396397999999</v>
      </c>
    </row>
    <row r="115" spans="1:21" x14ac:dyDescent="0.25">
      <c r="A115" s="8">
        <v>114</v>
      </c>
      <c r="B115" s="8">
        <v>20.028500000000001</v>
      </c>
      <c r="C115" s="8">
        <v>85.032799999999995</v>
      </c>
      <c r="D115" s="8" t="s">
        <v>7</v>
      </c>
      <c r="E115" s="8" t="s">
        <v>93</v>
      </c>
      <c r="F115" s="21">
        <v>3</v>
      </c>
      <c r="G115" s="8">
        <v>5195.3999999999996</v>
      </c>
      <c r="H115" s="11" t="s">
        <v>58</v>
      </c>
      <c r="I115" s="11">
        <v>2.75</v>
      </c>
      <c r="J115" s="11">
        <v>12370.2474</v>
      </c>
      <c r="K115" s="11">
        <v>11484.951239999999</v>
      </c>
      <c r="L115" s="11">
        <v>10456.26204</v>
      </c>
      <c r="M115" s="11">
        <v>9391.7245800000001</v>
      </c>
      <c r="N115" s="11">
        <v>8147.9458199999999</v>
      </c>
      <c r="O115" s="11">
        <v>8147.9458199999999</v>
      </c>
      <c r="P115" s="11">
        <v>14287.349999999999</v>
      </c>
      <c r="Q115" s="11">
        <v>14287.349999999999</v>
      </c>
      <c r="R115" s="11">
        <v>14287.349999999999</v>
      </c>
      <c r="S115" s="11">
        <v>14287.349999999999</v>
      </c>
      <c r="T115" s="11">
        <v>13621.81926</v>
      </c>
      <c r="U115" s="11">
        <v>13031.102279999999</v>
      </c>
    </row>
    <row r="116" spans="1:21" x14ac:dyDescent="0.25">
      <c r="A116" s="8">
        <v>115</v>
      </c>
      <c r="B116" s="8">
        <v>20.030200000000001</v>
      </c>
      <c r="C116" s="8">
        <v>85.030299999999997</v>
      </c>
      <c r="D116" s="8" t="s">
        <v>7</v>
      </c>
      <c r="E116" s="8" t="s">
        <v>93</v>
      </c>
      <c r="F116" s="21">
        <v>3</v>
      </c>
      <c r="G116" s="8">
        <v>6535.07</v>
      </c>
      <c r="H116" s="11" t="s">
        <v>58</v>
      </c>
      <c r="I116" s="11">
        <v>2.75</v>
      </c>
      <c r="J116" s="11">
        <v>15560.001670000001</v>
      </c>
      <c r="K116" s="11">
        <v>14446.425741999999</v>
      </c>
      <c r="L116" s="11">
        <v>13152.481881999998</v>
      </c>
      <c r="M116" s="11">
        <v>11813.446039</v>
      </c>
      <c r="N116" s="11">
        <v>10248.950280999999</v>
      </c>
      <c r="O116" s="11">
        <v>10248.950280999999</v>
      </c>
      <c r="P116" s="11">
        <v>17971.442499999997</v>
      </c>
      <c r="Q116" s="11">
        <v>17971.442499999997</v>
      </c>
      <c r="R116" s="11">
        <v>17971.442499999997</v>
      </c>
      <c r="S116" s="11">
        <v>17971.442499999997</v>
      </c>
      <c r="T116" s="11">
        <v>17134.300033</v>
      </c>
      <c r="U116" s="11">
        <v>16391.262574</v>
      </c>
    </row>
    <row r="117" spans="1:21" x14ac:dyDescent="0.25">
      <c r="A117" s="8">
        <v>116</v>
      </c>
      <c r="B117" s="8">
        <v>20.034600000000001</v>
      </c>
      <c r="C117" s="8">
        <v>85.026200000000003</v>
      </c>
      <c r="D117" s="8" t="s">
        <v>7</v>
      </c>
      <c r="E117" s="8" t="s">
        <v>93</v>
      </c>
      <c r="F117" s="21">
        <v>2</v>
      </c>
      <c r="G117" s="8">
        <v>751.75</v>
      </c>
      <c r="H117" s="11" t="s">
        <v>62</v>
      </c>
      <c r="I117" s="11">
        <v>1.75</v>
      </c>
      <c r="J117" s="11">
        <v>1038.1667500000001</v>
      </c>
      <c r="K117" s="11">
        <v>910.06854999999996</v>
      </c>
      <c r="L117" s="11">
        <v>761.22204999999997</v>
      </c>
      <c r="M117" s="11">
        <v>607.18847499999993</v>
      </c>
      <c r="N117" s="11">
        <v>427.21952500000003</v>
      </c>
      <c r="O117" s="11">
        <v>427.21952500000003</v>
      </c>
      <c r="P117" s="11">
        <v>1315.5625</v>
      </c>
      <c r="Q117" s="11">
        <v>1315.5625</v>
      </c>
      <c r="R117" s="11">
        <v>1315.5625</v>
      </c>
      <c r="S117" s="11">
        <v>1315.5625</v>
      </c>
      <c r="T117" s="11">
        <v>1219.2633250000001</v>
      </c>
      <c r="U117" s="11">
        <v>1133.78935</v>
      </c>
    </row>
    <row r="118" spans="1:21" x14ac:dyDescent="0.25">
      <c r="A118" s="8">
        <v>117</v>
      </c>
      <c r="B118" s="8">
        <v>20.034400000000002</v>
      </c>
      <c r="C118" s="8">
        <v>85.027100000000004</v>
      </c>
      <c r="D118" s="8" t="s">
        <v>7</v>
      </c>
      <c r="E118" s="8" t="s">
        <v>93</v>
      </c>
      <c r="F118" s="21">
        <v>2</v>
      </c>
      <c r="G118" s="8">
        <v>672.04</v>
      </c>
      <c r="H118" s="11" t="s">
        <v>62</v>
      </c>
      <c r="I118" s="11">
        <v>1.75</v>
      </c>
      <c r="J118" s="11">
        <v>928.08723999999995</v>
      </c>
      <c r="K118" s="11">
        <v>813.57162399999993</v>
      </c>
      <c r="L118" s="11">
        <v>680.50770399999988</v>
      </c>
      <c r="M118" s="11">
        <v>542.80670799999996</v>
      </c>
      <c r="N118" s="11">
        <v>381.92033199999997</v>
      </c>
      <c r="O118" s="11">
        <v>381.92033199999997</v>
      </c>
      <c r="P118" s="11">
        <v>1176.07</v>
      </c>
      <c r="Q118" s="11">
        <v>1176.07</v>
      </c>
      <c r="R118" s="11">
        <v>1176.07</v>
      </c>
      <c r="S118" s="11">
        <v>1176.07</v>
      </c>
      <c r="T118" s="11">
        <v>1089.9816760000001</v>
      </c>
      <c r="U118" s="11">
        <v>1013.5707279999999</v>
      </c>
    </row>
    <row r="119" spans="1:21" x14ac:dyDescent="0.25">
      <c r="A119" s="8">
        <v>118</v>
      </c>
      <c r="B119" s="8">
        <v>20.034099999999999</v>
      </c>
      <c r="C119" s="8">
        <v>85.027100000000004</v>
      </c>
      <c r="D119" s="8" t="s">
        <v>7</v>
      </c>
      <c r="E119" s="8" t="s">
        <v>93</v>
      </c>
      <c r="F119" s="21">
        <v>2</v>
      </c>
      <c r="G119" s="8">
        <v>723.42</v>
      </c>
      <c r="H119" s="11" t="s">
        <v>62</v>
      </c>
      <c r="I119" s="11">
        <v>1.75</v>
      </c>
      <c r="J119" s="11">
        <v>999.04301999999996</v>
      </c>
      <c r="K119" s="11">
        <v>875.77225199999987</v>
      </c>
      <c r="L119" s="11">
        <v>732.53509199999996</v>
      </c>
      <c r="M119" s="11">
        <v>584.30633399999999</v>
      </c>
      <c r="N119" s="11">
        <v>411.11958599999997</v>
      </c>
      <c r="O119" s="11">
        <v>411.11958599999997</v>
      </c>
      <c r="P119" s="11">
        <v>1265.9849999999999</v>
      </c>
      <c r="Q119" s="11">
        <v>1265.9849999999999</v>
      </c>
      <c r="R119" s="11">
        <v>1265.9849999999999</v>
      </c>
      <c r="S119" s="11">
        <v>1265.9849999999999</v>
      </c>
      <c r="T119" s="11">
        <v>1173.3148980000001</v>
      </c>
      <c r="U119" s="11">
        <v>1091.062044</v>
      </c>
    </row>
    <row r="120" spans="1:21" x14ac:dyDescent="0.25">
      <c r="A120" s="8">
        <v>119</v>
      </c>
      <c r="B120" s="8">
        <v>20.033999999999999</v>
      </c>
      <c r="C120" s="8">
        <v>85.027699999999996</v>
      </c>
      <c r="D120" s="8" t="s">
        <v>7</v>
      </c>
      <c r="E120" s="8" t="s">
        <v>93</v>
      </c>
      <c r="F120" s="21">
        <v>2</v>
      </c>
      <c r="G120" s="8">
        <v>782.1</v>
      </c>
      <c r="H120" s="11" t="s">
        <v>62</v>
      </c>
      <c r="I120" s="11">
        <v>1.75</v>
      </c>
      <c r="J120" s="11">
        <v>1080.0801000000001</v>
      </c>
      <c r="K120" s="11">
        <v>946.81025999999997</v>
      </c>
      <c r="L120" s="11">
        <v>791.95445999999993</v>
      </c>
      <c r="M120" s="11">
        <v>631.70217000000002</v>
      </c>
      <c r="N120" s="11">
        <v>444.46743000000004</v>
      </c>
      <c r="O120" s="11">
        <v>444.46743000000004</v>
      </c>
      <c r="P120" s="11">
        <v>1368.675</v>
      </c>
      <c r="Q120" s="11">
        <v>1368.675</v>
      </c>
      <c r="R120" s="11">
        <v>1368.675</v>
      </c>
      <c r="S120" s="11">
        <v>1368.675</v>
      </c>
      <c r="T120" s="11">
        <v>1268.4879900000001</v>
      </c>
      <c r="U120" s="11">
        <v>1179.56322</v>
      </c>
    </row>
    <row r="121" spans="1:21" x14ac:dyDescent="0.25">
      <c r="A121" s="8">
        <v>120</v>
      </c>
      <c r="B121" s="8">
        <v>20.033200000000001</v>
      </c>
      <c r="C121" s="8">
        <v>85.026499999999999</v>
      </c>
      <c r="D121" s="8" t="s">
        <v>7</v>
      </c>
      <c r="E121" s="8" t="s">
        <v>93</v>
      </c>
      <c r="F121" s="21">
        <v>2</v>
      </c>
      <c r="G121" s="8">
        <v>233.98</v>
      </c>
      <c r="H121" s="11" t="s">
        <v>62</v>
      </c>
      <c r="I121" s="11">
        <v>1.75</v>
      </c>
      <c r="J121" s="11">
        <v>323.12637999999998</v>
      </c>
      <c r="K121" s="11">
        <v>283.25618799999995</v>
      </c>
      <c r="L121" s="11">
        <v>236.92814799999996</v>
      </c>
      <c r="M121" s="11">
        <v>188.98564599999997</v>
      </c>
      <c r="N121" s="11">
        <v>132.970834</v>
      </c>
      <c r="O121" s="11">
        <v>132.970834</v>
      </c>
      <c r="P121" s="11">
        <v>409.46499999999997</v>
      </c>
      <c r="Q121" s="11">
        <v>409.46499999999997</v>
      </c>
      <c r="R121" s="11">
        <v>409.46499999999997</v>
      </c>
      <c r="S121" s="11">
        <v>409.46499999999997</v>
      </c>
      <c r="T121" s="11">
        <v>379.49216200000001</v>
      </c>
      <c r="U121" s="11">
        <v>352.88863599999996</v>
      </c>
    </row>
    <row r="122" spans="1:21" x14ac:dyDescent="0.25">
      <c r="A122" s="8">
        <v>121</v>
      </c>
      <c r="B122" s="8">
        <v>20.035799999999998</v>
      </c>
      <c r="C122" s="8">
        <v>85.028400000000005</v>
      </c>
      <c r="D122" s="8" t="s">
        <v>7</v>
      </c>
      <c r="E122" s="8" t="s">
        <v>93</v>
      </c>
      <c r="F122" s="21">
        <v>3</v>
      </c>
      <c r="G122" s="8">
        <v>6548.83</v>
      </c>
      <c r="H122" s="11" t="s">
        <v>62</v>
      </c>
      <c r="I122" s="11">
        <v>2.75</v>
      </c>
      <c r="J122" s="11">
        <v>15592.764230000001</v>
      </c>
      <c r="K122" s="11">
        <v>14476.843597999999</v>
      </c>
      <c r="L122" s="11">
        <v>13180.175257999999</v>
      </c>
      <c r="M122" s="11">
        <v>11838.319991</v>
      </c>
      <c r="N122" s="11">
        <v>10270.530089</v>
      </c>
      <c r="O122" s="11">
        <v>10270.530089</v>
      </c>
      <c r="P122" s="11">
        <v>18009.282500000001</v>
      </c>
      <c r="Q122" s="11">
        <v>18009.282500000001</v>
      </c>
      <c r="R122" s="11">
        <v>18009.282500000001</v>
      </c>
      <c r="S122" s="11">
        <v>18009.282500000001</v>
      </c>
      <c r="T122" s="11">
        <v>17170.377377000001</v>
      </c>
      <c r="U122" s="11">
        <v>16425.775406000001</v>
      </c>
    </row>
    <row r="123" spans="1:21" x14ac:dyDescent="0.25">
      <c r="A123" s="8">
        <v>122</v>
      </c>
      <c r="B123" s="8">
        <v>20.037099999999999</v>
      </c>
      <c r="C123" s="8">
        <v>85.028899999999993</v>
      </c>
      <c r="D123" s="8" t="s">
        <v>7</v>
      </c>
      <c r="E123" s="8" t="s">
        <v>93</v>
      </c>
      <c r="F123" s="21">
        <v>4</v>
      </c>
      <c r="G123" s="8">
        <v>11664.96</v>
      </c>
      <c r="H123" s="11" t="s">
        <v>62</v>
      </c>
      <c r="I123" s="11">
        <v>3.75</v>
      </c>
      <c r="J123" s="11">
        <v>39439.229760000002</v>
      </c>
      <c r="K123" s="11">
        <v>37451.520575999995</v>
      </c>
      <c r="L123" s="11">
        <v>35141.858495999993</v>
      </c>
      <c r="M123" s="11">
        <v>32751.708191999998</v>
      </c>
      <c r="N123" s="11">
        <v>29959.116767999996</v>
      </c>
      <c r="O123" s="11">
        <v>29959.116767999996</v>
      </c>
      <c r="P123" s="11">
        <v>43743.6</v>
      </c>
      <c r="Q123" s="11">
        <v>43743.6</v>
      </c>
      <c r="R123" s="11">
        <v>43743.6</v>
      </c>
      <c r="S123" s="11">
        <v>43743.6</v>
      </c>
      <c r="T123" s="11">
        <v>42249.318624</v>
      </c>
      <c r="U123" s="11">
        <v>40923.012671999997</v>
      </c>
    </row>
    <row r="124" spans="1:21" x14ac:dyDescent="0.25">
      <c r="A124" s="8">
        <v>123</v>
      </c>
      <c r="B124" s="8">
        <v>20.039000000000001</v>
      </c>
      <c r="C124" s="8">
        <v>85.031700000000001</v>
      </c>
      <c r="D124" s="8" t="s">
        <v>7</v>
      </c>
      <c r="E124" s="8" t="s">
        <v>93</v>
      </c>
      <c r="F124" s="21">
        <v>3</v>
      </c>
      <c r="G124" s="8">
        <v>1530.71</v>
      </c>
      <c r="H124" s="11" t="s">
        <v>62</v>
      </c>
      <c r="I124" s="11">
        <v>2.75</v>
      </c>
      <c r="J124" s="11">
        <v>3644.6205100000006</v>
      </c>
      <c r="K124" s="11">
        <v>3383.7875260000001</v>
      </c>
      <c r="L124" s="11">
        <v>3080.7069459999998</v>
      </c>
      <c r="M124" s="11">
        <v>2767.0644670000001</v>
      </c>
      <c r="N124" s="11">
        <v>2400.6124930000001</v>
      </c>
      <c r="O124" s="11">
        <v>2400.6124930000001</v>
      </c>
      <c r="P124" s="11">
        <v>4209.4525000000003</v>
      </c>
      <c r="Q124" s="11">
        <v>4209.4525000000003</v>
      </c>
      <c r="R124" s="11">
        <v>4209.4525000000003</v>
      </c>
      <c r="S124" s="11">
        <v>4209.4525000000003</v>
      </c>
      <c r="T124" s="11">
        <v>4013.3685490000003</v>
      </c>
      <c r="U124" s="11">
        <v>3839.326822</v>
      </c>
    </row>
    <row r="125" spans="1:21" x14ac:dyDescent="0.25">
      <c r="A125" s="8">
        <v>124</v>
      </c>
      <c r="B125" s="8">
        <v>20.039400000000001</v>
      </c>
      <c r="C125" s="8">
        <v>85.033100000000005</v>
      </c>
      <c r="D125" s="8" t="s">
        <v>7</v>
      </c>
      <c r="E125" s="8" t="s">
        <v>93</v>
      </c>
      <c r="F125" s="21">
        <v>2</v>
      </c>
      <c r="G125" s="8">
        <v>687.95</v>
      </c>
      <c r="H125" s="11" t="s">
        <v>62</v>
      </c>
      <c r="I125" s="11">
        <v>1.75</v>
      </c>
      <c r="J125" s="11">
        <v>950.0589500000001</v>
      </c>
      <c r="K125" s="11">
        <v>832.83226999999999</v>
      </c>
      <c r="L125" s="11">
        <v>696.61816999999996</v>
      </c>
      <c r="M125" s="11">
        <v>555.65721500000006</v>
      </c>
      <c r="N125" s="11">
        <v>390.96198500000003</v>
      </c>
      <c r="O125" s="11">
        <v>390.96198500000003</v>
      </c>
      <c r="P125" s="11">
        <v>1203.9125000000001</v>
      </c>
      <c r="Q125" s="11">
        <v>1203.9125000000001</v>
      </c>
      <c r="R125" s="11">
        <v>1203.9125000000001</v>
      </c>
      <c r="S125" s="11">
        <v>1203.9125000000001</v>
      </c>
      <c r="T125" s="11">
        <v>1115.7861050000001</v>
      </c>
      <c r="U125" s="11">
        <v>1037.56619</v>
      </c>
    </row>
    <row r="126" spans="1:21" x14ac:dyDescent="0.25">
      <c r="A126" s="8">
        <v>125</v>
      </c>
      <c r="B126" s="8">
        <v>20.039400000000001</v>
      </c>
      <c r="C126" s="8">
        <v>85.033900000000003</v>
      </c>
      <c r="D126" s="8" t="s">
        <v>7</v>
      </c>
      <c r="E126" s="8" t="s">
        <v>93</v>
      </c>
      <c r="F126" s="21">
        <v>3</v>
      </c>
      <c r="G126" s="8">
        <v>1097.48</v>
      </c>
      <c r="H126" s="11" t="s">
        <v>62</v>
      </c>
      <c r="I126" s="11">
        <v>2.75</v>
      </c>
      <c r="J126" s="11">
        <v>2613.0998800000002</v>
      </c>
      <c r="K126" s="11">
        <v>2426.0892880000001</v>
      </c>
      <c r="L126" s="11">
        <v>2208.7882479999998</v>
      </c>
      <c r="M126" s="11">
        <v>1983.9145960000001</v>
      </c>
      <c r="N126" s="11">
        <v>1721.1778839999999</v>
      </c>
      <c r="O126" s="11">
        <v>1721.1778839999999</v>
      </c>
      <c r="P126" s="11">
        <v>3018.07</v>
      </c>
      <c r="Q126" s="11">
        <v>3018.07</v>
      </c>
      <c r="R126" s="11">
        <v>3018.07</v>
      </c>
      <c r="S126" s="11">
        <v>3018.07</v>
      </c>
      <c r="T126" s="11">
        <v>2877.4828120000002</v>
      </c>
      <c r="U126" s="11">
        <v>2752.6993360000001</v>
      </c>
    </row>
    <row r="127" spans="1:21" x14ac:dyDescent="0.25">
      <c r="A127" s="8">
        <v>126</v>
      </c>
      <c r="B127" s="8">
        <v>20.0413</v>
      </c>
      <c r="C127" s="8">
        <v>85.033600000000007</v>
      </c>
      <c r="D127" s="8" t="s">
        <v>7</v>
      </c>
      <c r="E127" s="8" t="s">
        <v>93</v>
      </c>
      <c r="F127" s="21">
        <v>3.5</v>
      </c>
      <c r="G127" s="8">
        <v>7023.03</v>
      </c>
      <c r="H127" s="11" t="s">
        <v>62</v>
      </c>
      <c r="I127" s="11">
        <v>3.25</v>
      </c>
      <c r="J127" s="11">
        <v>20233.349430000002</v>
      </c>
      <c r="K127" s="11">
        <v>19036.625118</v>
      </c>
      <c r="L127" s="11">
        <v>17646.065178000001</v>
      </c>
      <c r="M127" s="11">
        <v>16207.046331</v>
      </c>
      <c r="N127" s="11">
        <v>14525.732948999997</v>
      </c>
      <c r="O127" s="11">
        <v>14525.732948999997</v>
      </c>
      <c r="P127" s="11">
        <v>22824.8475</v>
      </c>
      <c r="Q127" s="11">
        <v>22824.8475</v>
      </c>
      <c r="R127" s="11">
        <v>22824.8475</v>
      </c>
      <c r="S127" s="11">
        <v>22824.8475</v>
      </c>
      <c r="T127" s="11">
        <v>21925.197357000001</v>
      </c>
      <c r="U127" s="11">
        <v>21126.678845999999</v>
      </c>
    </row>
    <row r="128" spans="1:21" x14ac:dyDescent="0.25">
      <c r="A128" s="8">
        <v>127</v>
      </c>
      <c r="B128" s="8">
        <v>20.039100000000001</v>
      </c>
      <c r="C128" s="8">
        <v>85.037800000000004</v>
      </c>
      <c r="D128" s="8" t="s">
        <v>7</v>
      </c>
      <c r="E128" s="8" t="s">
        <v>93</v>
      </c>
      <c r="F128" s="21">
        <v>4</v>
      </c>
      <c r="G128" s="8">
        <v>3643.06</v>
      </c>
      <c r="H128" s="11" t="s">
        <v>62</v>
      </c>
      <c r="I128" s="11">
        <v>3.75</v>
      </c>
      <c r="J128" s="11">
        <v>12317.185860000001</v>
      </c>
      <c r="K128" s="11">
        <v>11696.408436</v>
      </c>
      <c r="L128" s="11">
        <v>10975.082555999999</v>
      </c>
      <c r="M128" s="11">
        <v>10228.619562</v>
      </c>
      <c r="N128" s="11">
        <v>9356.4709979999989</v>
      </c>
      <c r="O128" s="11">
        <v>9356.4709979999989</v>
      </c>
      <c r="P128" s="11">
        <v>13661.475</v>
      </c>
      <c r="Q128" s="11">
        <v>13661.475</v>
      </c>
      <c r="R128" s="11">
        <v>13661.475</v>
      </c>
      <c r="S128" s="11">
        <v>13661.475</v>
      </c>
      <c r="T128" s="11">
        <v>13194.799014</v>
      </c>
      <c r="U128" s="11">
        <v>12780.583091999999</v>
      </c>
    </row>
    <row r="129" spans="1:21" x14ac:dyDescent="0.25">
      <c r="A129" s="8">
        <v>128</v>
      </c>
      <c r="B129" s="8">
        <v>20.037500000000001</v>
      </c>
      <c r="C129" s="8">
        <v>85.022599999999997</v>
      </c>
      <c r="D129" s="8" t="s">
        <v>7</v>
      </c>
      <c r="E129" s="8" t="s">
        <v>93</v>
      </c>
      <c r="F129" s="21">
        <v>2.5</v>
      </c>
      <c r="G129" s="8">
        <v>6360.99</v>
      </c>
      <c r="H129" s="11" t="s">
        <v>62</v>
      </c>
      <c r="I129" s="11">
        <v>2.25</v>
      </c>
      <c r="J129" s="11">
        <v>11965.02219</v>
      </c>
      <c r="K129" s="11">
        <v>10881.109493999998</v>
      </c>
      <c r="L129" s="11">
        <v>9621.6334740000002</v>
      </c>
      <c r="M129" s="11">
        <v>8318.2666229999995</v>
      </c>
      <c r="N129" s="11">
        <v>6795.4456170000003</v>
      </c>
      <c r="O129" s="11">
        <v>6795.4456170000003</v>
      </c>
      <c r="P129" s="11">
        <v>14312.227499999999</v>
      </c>
      <c r="Q129" s="11">
        <v>14312.227499999999</v>
      </c>
      <c r="R129" s="11">
        <v>14312.227499999999</v>
      </c>
      <c r="S129" s="11">
        <v>14312.227499999999</v>
      </c>
      <c r="T129" s="11">
        <v>13497.384681</v>
      </c>
      <c r="U129" s="11">
        <v>12774.140117999999</v>
      </c>
    </row>
    <row r="130" spans="1:21" x14ac:dyDescent="0.25">
      <c r="A130" s="8">
        <v>129</v>
      </c>
      <c r="B130" s="8">
        <v>20.039000000000001</v>
      </c>
      <c r="C130" s="8">
        <v>85.020200000000003</v>
      </c>
      <c r="D130" s="8" t="s">
        <v>7</v>
      </c>
      <c r="E130" s="8" t="s">
        <v>93</v>
      </c>
      <c r="F130" s="21">
        <v>2.5</v>
      </c>
      <c r="G130" s="8">
        <v>3765.54</v>
      </c>
      <c r="H130" s="11" t="s">
        <v>62</v>
      </c>
      <c r="I130" s="11">
        <v>2.25</v>
      </c>
      <c r="J130" s="11">
        <v>7082.98074</v>
      </c>
      <c r="K130" s="11">
        <v>6441.3327239999999</v>
      </c>
      <c r="L130" s="11">
        <v>5695.7558039999994</v>
      </c>
      <c r="M130" s="11">
        <v>4924.1966579999998</v>
      </c>
      <c r="N130" s="11">
        <v>4022.7263820000003</v>
      </c>
      <c r="O130" s="11">
        <v>4022.7263820000003</v>
      </c>
      <c r="P130" s="11">
        <v>8472.4650000000001</v>
      </c>
      <c r="Q130" s="11">
        <v>8472.4650000000001</v>
      </c>
      <c r="R130" s="11">
        <v>8472.4650000000001</v>
      </c>
      <c r="S130" s="11">
        <v>8472.4650000000001</v>
      </c>
      <c r="T130" s="11">
        <v>7990.0993260000005</v>
      </c>
      <c r="U130" s="11">
        <v>7561.9574279999997</v>
      </c>
    </row>
    <row r="131" spans="1:21" x14ac:dyDescent="0.25">
      <c r="A131" s="8">
        <v>130</v>
      </c>
      <c r="B131" s="8">
        <v>20.043299999999999</v>
      </c>
      <c r="C131" s="8">
        <v>85.0214</v>
      </c>
      <c r="D131" s="8" t="s">
        <v>7</v>
      </c>
      <c r="E131" s="8" t="s">
        <v>93</v>
      </c>
      <c r="F131" s="21">
        <v>2</v>
      </c>
      <c r="G131" s="8">
        <v>5853.1</v>
      </c>
      <c r="H131" s="11" t="s">
        <v>62</v>
      </c>
      <c r="I131" s="11">
        <v>1.75</v>
      </c>
      <c r="J131" s="11">
        <v>8083.1311000000005</v>
      </c>
      <c r="K131" s="11">
        <v>7085.7628599999998</v>
      </c>
      <c r="L131" s="11">
        <v>5926.8490600000005</v>
      </c>
      <c r="M131" s="11">
        <v>4727.5488700000005</v>
      </c>
      <c r="N131" s="11">
        <v>3326.3167300000005</v>
      </c>
      <c r="O131" s="11">
        <v>3326.3167300000005</v>
      </c>
      <c r="P131" s="11">
        <v>10242.925000000001</v>
      </c>
      <c r="Q131" s="11">
        <v>10242.925000000001</v>
      </c>
      <c r="R131" s="11">
        <v>10242.925000000001</v>
      </c>
      <c r="S131" s="11">
        <v>10242.925000000001</v>
      </c>
      <c r="T131" s="11">
        <v>9493.142890000001</v>
      </c>
      <c r="U131" s="11">
        <v>8827.6454200000007</v>
      </c>
    </row>
    <row r="132" spans="1:21" x14ac:dyDescent="0.25">
      <c r="A132" s="8">
        <v>131</v>
      </c>
      <c r="B132" s="8">
        <v>20.0456</v>
      </c>
      <c r="C132" s="8">
        <v>85.0227</v>
      </c>
      <c r="D132" s="8" t="s">
        <v>7</v>
      </c>
      <c r="E132" s="8" t="s">
        <v>93</v>
      </c>
      <c r="F132" s="21">
        <v>3</v>
      </c>
      <c r="G132" s="8">
        <v>4815.83</v>
      </c>
      <c r="H132" s="11" t="s">
        <v>62</v>
      </c>
      <c r="I132" s="11">
        <v>2.75</v>
      </c>
      <c r="J132" s="11">
        <v>11466.491230000001</v>
      </c>
      <c r="K132" s="11">
        <v>10645.873797999999</v>
      </c>
      <c r="L132" s="11">
        <v>9692.3394580000004</v>
      </c>
      <c r="M132" s="11">
        <v>8705.5758910000004</v>
      </c>
      <c r="N132" s="11">
        <v>7552.6661889999996</v>
      </c>
      <c r="O132" s="11">
        <v>7552.6661889999996</v>
      </c>
      <c r="P132" s="11">
        <v>13243.532499999999</v>
      </c>
      <c r="Q132" s="11">
        <v>13243.532499999999</v>
      </c>
      <c r="R132" s="11">
        <v>13243.532499999999</v>
      </c>
      <c r="S132" s="11">
        <v>13243.532499999999</v>
      </c>
      <c r="T132" s="11">
        <v>12626.624677</v>
      </c>
      <c r="U132" s="11">
        <v>12079.064806</v>
      </c>
    </row>
    <row r="133" spans="1:21" x14ac:dyDescent="0.25">
      <c r="A133" s="8">
        <v>132</v>
      </c>
      <c r="B133" s="8">
        <v>20.048100000000002</v>
      </c>
      <c r="C133" s="8">
        <v>85.022499999999994</v>
      </c>
      <c r="D133" s="8" t="s">
        <v>7</v>
      </c>
      <c r="E133" s="8" t="s">
        <v>93</v>
      </c>
      <c r="F133" s="21">
        <v>4</v>
      </c>
      <c r="G133" s="8">
        <v>5942.48</v>
      </c>
      <c r="H133" s="11" t="s">
        <v>62</v>
      </c>
      <c r="I133" s="11">
        <v>3.75</v>
      </c>
      <c r="J133" s="11">
        <v>20091.524880000001</v>
      </c>
      <c r="K133" s="11">
        <v>19078.926287999999</v>
      </c>
      <c r="L133" s="11">
        <v>17902.315247999999</v>
      </c>
      <c r="M133" s="11">
        <v>16684.701096000001</v>
      </c>
      <c r="N133" s="11">
        <v>15262.071383999997</v>
      </c>
      <c r="O133" s="11">
        <v>15262.071383999997</v>
      </c>
      <c r="P133" s="11">
        <v>22284.3</v>
      </c>
      <c r="Q133" s="11">
        <v>22284.3</v>
      </c>
      <c r="R133" s="11">
        <v>22284.3</v>
      </c>
      <c r="S133" s="11">
        <v>22284.3</v>
      </c>
      <c r="T133" s="11">
        <v>21523.068311999999</v>
      </c>
      <c r="U133" s="11">
        <v>20847.408335999997</v>
      </c>
    </row>
    <row r="134" spans="1:21" x14ac:dyDescent="0.25">
      <c r="A134" s="8">
        <v>133</v>
      </c>
      <c r="B134" s="8">
        <v>20.0486</v>
      </c>
      <c r="C134" s="8">
        <v>85.021100000000004</v>
      </c>
      <c r="D134" s="8" t="s">
        <v>7</v>
      </c>
      <c r="E134" s="8" t="s">
        <v>93</v>
      </c>
      <c r="F134" s="21">
        <v>2</v>
      </c>
      <c r="G134" s="8">
        <v>1431.83</v>
      </c>
      <c r="H134" s="11" t="s">
        <v>62</v>
      </c>
      <c r="I134" s="11">
        <v>1.75</v>
      </c>
      <c r="J134" s="11">
        <v>1977.3572299999998</v>
      </c>
      <c r="K134" s="11">
        <v>1733.3733979999997</v>
      </c>
      <c r="L134" s="11">
        <v>1449.8710579999999</v>
      </c>
      <c r="M134" s="11">
        <v>1156.4890909999999</v>
      </c>
      <c r="N134" s="11">
        <v>813.70898899999997</v>
      </c>
      <c r="O134" s="11">
        <v>813.70898899999997</v>
      </c>
      <c r="P134" s="11">
        <v>2505.7024999999999</v>
      </c>
      <c r="Q134" s="11">
        <v>2505.7024999999999</v>
      </c>
      <c r="R134" s="11">
        <v>2505.7024999999999</v>
      </c>
      <c r="S134" s="11">
        <v>2505.7024999999999</v>
      </c>
      <c r="T134" s="11">
        <v>2322.285077</v>
      </c>
      <c r="U134" s="11">
        <v>2159.4860060000001</v>
      </c>
    </row>
    <row r="135" spans="1:21" x14ac:dyDescent="0.25">
      <c r="A135" s="8">
        <v>134</v>
      </c>
      <c r="B135" s="8">
        <v>20.0487</v>
      </c>
      <c r="C135" s="8">
        <v>85.0214</v>
      </c>
      <c r="D135" s="8" t="s">
        <v>7</v>
      </c>
      <c r="E135" s="8" t="s">
        <v>93</v>
      </c>
      <c r="F135" s="21">
        <v>2</v>
      </c>
      <c r="G135" s="8">
        <v>743.13</v>
      </c>
      <c r="H135" s="11" t="s">
        <v>62</v>
      </c>
      <c r="I135" s="11">
        <v>1.75</v>
      </c>
      <c r="J135" s="11">
        <v>1026.26253</v>
      </c>
      <c r="K135" s="11">
        <v>899.63317799999993</v>
      </c>
      <c r="L135" s="11">
        <v>752.49343799999997</v>
      </c>
      <c r="M135" s="11">
        <v>600.22610099999997</v>
      </c>
      <c r="N135" s="11">
        <v>422.32077900000002</v>
      </c>
      <c r="O135" s="11">
        <v>422.32077900000002</v>
      </c>
      <c r="P135" s="11">
        <v>1300.4775</v>
      </c>
      <c r="Q135" s="11">
        <v>1300.4775</v>
      </c>
      <c r="R135" s="11">
        <v>1300.4775</v>
      </c>
      <c r="S135" s="11">
        <v>1300.4775</v>
      </c>
      <c r="T135" s="11">
        <v>1205.282547</v>
      </c>
      <c r="U135" s="11">
        <v>1120.7886659999999</v>
      </c>
    </row>
    <row r="136" spans="1:21" x14ac:dyDescent="0.25">
      <c r="A136" s="8">
        <v>135</v>
      </c>
      <c r="B136" s="8">
        <v>20.0487</v>
      </c>
      <c r="C136" s="8">
        <v>85.022599999999997</v>
      </c>
      <c r="D136" s="8" t="s">
        <v>7</v>
      </c>
      <c r="E136" s="8" t="s">
        <v>93</v>
      </c>
      <c r="F136" s="21">
        <v>2</v>
      </c>
      <c r="G136" s="8">
        <v>539.77</v>
      </c>
      <c r="H136" s="11" t="s">
        <v>62</v>
      </c>
      <c r="I136" s="11">
        <v>1.75</v>
      </c>
      <c r="J136" s="11">
        <v>745.42237</v>
      </c>
      <c r="K136" s="11">
        <v>653.44556199999988</v>
      </c>
      <c r="L136" s="11">
        <v>546.571102</v>
      </c>
      <c r="M136" s="11">
        <v>435.97222899999997</v>
      </c>
      <c r="N136" s="11">
        <v>306.75129099999998</v>
      </c>
      <c r="O136" s="11">
        <v>306.75129099999998</v>
      </c>
      <c r="P136" s="11">
        <v>944.59749999999997</v>
      </c>
      <c r="Q136" s="11">
        <v>944.59749999999997</v>
      </c>
      <c r="R136" s="11">
        <v>944.59749999999997</v>
      </c>
      <c r="S136" s="11">
        <v>944.59749999999997</v>
      </c>
      <c r="T136" s="11">
        <v>875.45296300000007</v>
      </c>
      <c r="U136" s="11">
        <v>814.08111399999996</v>
      </c>
    </row>
    <row r="137" spans="1:21" x14ac:dyDescent="0.25">
      <c r="A137" s="8">
        <v>136</v>
      </c>
      <c r="B137" s="8">
        <v>20.051400000000001</v>
      </c>
      <c r="C137" s="8">
        <v>85.021699999999996</v>
      </c>
      <c r="D137" s="8" t="s">
        <v>7</v>
      </c>
      <c r="E137" s="8" t="s">
        <v>93</v>
      </c>
      <c r="F137" s="21">
        <v>2</v>
      </c>
      <c r="G137" s="8">
        <v>1429.34</v>
      </c>
      <c r="H137" s="11" t="s">
        <v>62</v>
      </c>
      <c r="I137" s="11">
        <v>1.75</v>
      </c>
      <c r="J137" s="11">
        <v>1973.9185399999999</v>
      </c>
      <c r="K137" s="11">
        <v>1730.3590039999997</v>
      </c>
      <c r="L137" s="11">
        <v>1447.3496839999998</v>
      </c>
      <c r="M137" s="11">
        <v>1154.4779179999998</v>
      </c>
      <c r="N137" s="11">
        <v>812.29392199999995</v>
      </c>
      <c r="O137" s="11">
        <v>812.29392199999995</v>
      </c>
      <c r="P137" s="11">
        <v>2501.3449999999998</v>
      </c>
      <c r="Q137" s="11">
        <v>2501.3449999999998</v>
      </c>
      <c r="R137" s="11">
        <v>2501.3449999999998</v>
      </c>
      <c r="S137" s="11">
        <v>2501.3449999999998</v>
      </c>
      <c r="T137" s="11">
        <v>2318.2465459999999</v>
      </c>
      <c r="U137" s="11">
        <v>2155.7305879999999</v>
      </c>
    </row>
    <row r="138" spans="1:21" x14ac:dyDescent="0.25">
      <c r="A138" s="8">
        <v>137</v>
      </c>
      <c r="B138" s="8">
        <v>20.052099999999999</v>
      </c>
      <c r="C138" s="8">
        <v>85.023300000000006</v>
      </c>
      <c r="D138" s="8" t="s">
        <v>7</v>
      </c>
      <c r="E138" s="8" t="s">
        <v>93</v>
      </c>
      <c r="F138" s="21">
        <v>4</v>
      </c>
      <c r="G138" s="8">
        <v>3732.57</v>
      </c>
      <c r="H138" s="11" t="s">
        <v>62</v>
      </c>
      <c r="I138" s="11">
        <v>3.75</v>
      </c>
      <c r="J138" s="11">
        <v>12619.819170000001</v>
      </c>
      <c r="K138" s="11">
        <v>11983.789242000001</v>
      </c>
      <c r="L138" s="11">
        <v>11244.740382</v>
      </c>
      <c r="M138" s="11">
        <v>10479.936789000001</v>
      </c>
      <c r="N138" s="11">
        <v>9586.3595310000001</v>
      </c>
      <c r="O138" s="11">
        <v>9586.3595310000001</v>
      </c>
      <c r="P138" s="11">
        <v>13997.137500000001</v>
      </c>
      <c r="Q138" s="11">
        <v>13997.137500000001</v>
      </c>
      <c r="R138" s="11">
        <v>13997.137500000001</v>
      </c>
      <c r="S138" s="11">
        <v>13997.137500000001</v>
      </c>
      <c r="T138" s="11">
        <v>13518.995283</v>
      </c>
      <c r="U138" s="11">
        <v>13094.602074</v>
      </c>
    </row>
    <row r="139" spans="1:21" x14ac:dyDescent="0.25">
      <c r="A139" s="8">
        <v>138</v>
      </c>
      <c r="B139" s="8">
        <v>20.0471</v>
      </c>
      <c r="C139" s="8">
        <v>85.027299999999997</v>
      </c>
      <c r="D139" s="8" t="s">
        <v>7</v>
      </c>
      <c r="E139" s="8" t="s">
        <v>93</v>
      </c>
      <c r="F139" s="21">
        <v>4</v>
      </c>
      <c r="G139" s="8">
        <v>63936.160000000003</v>
      </c>
      <c r="H139" s="11" t="s">
        <v>62</v>
      </c>
      <c r="I139" s="11">
        <v>3.75</v>
      </c>
      <c r="J139" s="11">
        <v>216168.15696000002</v>
      </c>
      <c r="K139" s="11">
        <v>205273.43529600001</v>
      </c>
      <c r="L139" s="11">
        <v>192614.07561600002</v>
      </c>
      <c r="M139" s="11">
        <v>179513.55643200001</v>
      </c>
      <c r="N139" s="11">
        <v>164207.23972799999</v>
      </c>
      <c r="O139" s="11">
        <v>164207.23972799999</v>
      </c>
      <c r="P139" s="11">
        <v>239760.6</v>
      </c>
      <c r="Q139" s="11">
        <v>239760.6</v>
      </c>
      <c r="R139" s="11">
        <v>239760.6</v>
      </c>
      <c r="S139" s="11">
        <v>239760.6</v>
      </c>
      <c r="T139" s="11">
        <v>231570.37790400002</v>
      </c>
      <c r="U139" s="11">
        <v>224300.83651200001</v>
      </c>
    </row>
    <row r="140" spans="1:21" x14ac:dyDescent="0.25">
      <c r="A140" s="8">
        <v>139</v>
      </c>
      <c r="B140" s="8">
        <v>20.0456</v>
      </c>
      <c r="C140" s="8">
        <v>85.028999999999996</v>
      </c>
      <c r="D140" s="8" t="s">
        <v>7</v>
      </c>
      <c r="E140" s="8" t="s">
        <v>93</v>
      </c>
      <c r="F140" s="21">
        <v>3</v>
      </c>
      <c r="G140" s="8">
        <v>3257.27</v>
      </c>
      <c r="H140" s="11" t="s">
        <v>62</v>
      </c>
      <c r="I140" s="11">
        <v>2.75</v>
      </c>
      <c r="J140" s="11">
        <v>7755.559870000001</v>
      </c>
      <c r="K140" s="11">
        <v>7200.5210619999998</v>
      </c>
      <c r="L140" s="11">
        <v>6555.5816020000002</v>
      </c>
      <c r="M140" s="11">
        <v>5888.1669790000005</v>
      </c>
      <c r="N140" s="11">
        <v>5108.3765409999996</v>
      </c>
      <c r="O140" s="11">
        <v>5108.3765409999996</v>
      </c>
      <c r="P140" s="11">
        <v>8957.4925000000003</v>
      </c>
      <c r="Q140" s="11">
        <v>8957.4925000000003</v>
      </c>
      <c r="R140" s="11">
        <v>8957.4925000000003</v>
      </c>
      <c r="S140" s="11">
        <v>8957.4925000000003</v>
      </c>
      <c r="T140" s="11">
        <v>8540.2362130000001</v>
      </c>
      <c r="U140" s="11">
        <v>8169.8846139999996</v>
      </c>
    </row>
    <row r="141" spans="1:21" x14ac:dyDescent="0.25">
      <c r="A141" s="8">
        <v>140</v>
      </c>
      <c r="B141" s="8">
        <v>20.048300000000001</v>
      </c>
      <c r="C141" s="8">
        <v>85.029899999999998</v>
      </c>
      <c r="D141" s="8" t="s">
        <v>7</v>
      </c>
      <c r="E141" s="8" t="s">
        <v>93</v>
      </c>
      <c r="F141" s="21">
        <v>2</v>
      </c>
      <c r="G141" s="8">
        <v>1189.6199999999999</v>
      </c>
      <c r="H141" s="11" t="s">
        <v>62</v>
      </c>
      <c r="I141" s="11">
        <v>1.75</v>
      </c>
      <c r="J141" s="11">
        <v>1642.8652199999999</v>
      </c>
      <c r="K141" s="11">
        <v>1440.1539719999998</v>
      </c>
      <c r="L141" s="11">
        <v>1204.6092119999998</v>
      </c>
      <c r="M141" s="11">
        <v>960.85607399999992</v>
      </c>
      <c r="N141" s="11">
        <v>676.06104599999992</v>
      </c>
      <c r="O141" s="11">
        <v>676.06104599999992</v>
      </c>
      <c r="P141" s="11">
        <v>2081.835</v>
      </c>
      <c r="Q141" s="11">
        <v>2081.835</v>
      </c>
      <c r="R141" s="11">
        <v>2081.835</v>
      </c>
      <c r="S141" s="11">
        <v>2081.835</v>
      </c>
      <c r="T141" s="11">
        <v>1929.4446780000001</v>
      </c>
      <c r="U141" s="11">
        <v>1794.1848839999998</v>
      </c>
    </row>
    <row r="142" spans="1:21" x14ac:dyDescent="0.25">
      <c r="A142" s="8">
        <v>141</v>
      </c>
      <c r="B142" s="8">
        <v>20.056100000000001</v>
      </c>
      <c r="C142" s="8">
        <v>85.026600000000002</v>
      </c>
      <c r="D142" s="8" t="s">
        <v>7</v>
      </c>
      <c r="E142" s="8" t="s">
        <v>93</v>
      </c>
      <c r="F142" s="21">
        <v>2</v>
      </c>
      <c r="G142" s="8">
        <v>783.64</v>
      </c>
      <c r="H142" s="11" t="s">
        <v>62</v>
      </c>
      <c r="I142" s="11">
        <v>1.75</v>
      </c>
      <c r="J142" s="11">
        <v>1082.2068400000001</v>
      </c>
      <c r="K142" s="11">
        <v>948.67458399999987</v>
      </c>
      <c r="L142" s="11">
        <v>793.5138639999999</v>
      </c>
      <c r="M142" s="11">
        <v>632.94602799999996</v>
      </c>
      <c r="N142" s="11">
        <v>445.34261200000003</v>
      </c>
      <c r="O142" s="11">
        <v>445.34261200000003</v>
      </c>
      <c r="P142" s="11">
        <v>1371.37</v>
      </c>
      <c r="Q142" s="11">
        <v>1371.37</v>
      </c>
      <c r="R142" s="11">
        <v>1371.37</v>
      </c>
      <c r="S142" s="11">
        <v>1371.37</v>
      </c>
      <c r="T142" s="11">
        <v>1270.9857160000001</v>
      </c>
      <c r="U142" s="11">
        <v>1181.8858479999999</v>
      </c>
    </row>
    <row r="143" spans="1:21" x14ac:dyDescent="0.25">
      <c r="A143" s="8">
        <v>142</v>
      </c>
      <c r="B143" s="8">
        <v>20.057200000000002</v>
      </c>
      <c r="C143" s="8">
        <v>85.030100000000004</v>
      </c>
      <c r="D143" s="8" t="s">
        <v>7</v>
      </c>
      <c r="E143" s="8" t="s">
        <v>93</v>
      </c>
      <c r="F143" s="21">
        <v>3</v>
      </c>
      <c r="G143" s="8">
        <v>8135.61</v>
      </c>
      <c r="H143" s="11" t="s">
        <v>62</v>
      </c>
      <c r="I143" s="11">
        <v>2.75</v>
      </c>
      <c r="J143" s="11">
        <v>19370.887409999999</v>
      </c>
      <c r="K143" s="11">
        <v>17984.579465999999</v>
      </c>
      <c r="L143" s="11">
        <v>16373.728685999999</v>
      </c>
      <c r="M143" s="11">
        <v>14706.742197</v>
      </c>
      <c r="N143" s="11">
        <v>12759.077163</v>
      </c>
      <c r="O143" s="11">
        <v>12759.077163</v>
      </c>
      <c r="P143" s="11">
        <v>22372.927499999998</v>
      </c>
      <c r="Q143" s="11">
        <v>22372.927499999998</v>
      </c>
      <c r="R143" s="11">
        <v>22372.927499999998</v>
      </c>
      <c r="S143" s="11">
        <v>22372.927499999998</v>
      </c>
      <c r="T143" s="11">
        <v>21330.755859000001</v>
      </c>
      <c r="U143" s="11">
        <v>20405.737001999998</v>
      </c>
    </row>
    <row r="144" spans="1:21" x14ac:dyDescent="0.25">
      <c r="A144" s="8">
        <v>143</v>
      </c>
      <c r="B144" s="8">
        <v>20.057400000000001</v>
      </c>
      <c r="C144" s="8">
        <v>85.035399999999996</v>
      </c>
      <c r="D144" s="8" t="s">
        <v>7</v>
      </c>
      <c r="E144" s="8" t="s">
        <v>93</v>
      </c>
      <c r="F144" s="21">
        <v>3</v>
      </c>
      <c r="G144" s="8">
        <v>4566.41</v>
      </c>
      <c r="H144" s="11" t="s">
        <v>62</v>
      </c>
      <c r="I144" s="11">
        <v>2.75</v>
      </c>
      <c r="J144" s="11">
        <v>10872.622210000001</v>
      </c>
      <c r="K144" s="11">
        <v>10094.505945999999</v>
      </c>
      <c r="L144" s="11">
        <v>9190.356765999999</v>
      </c>
      <c r="M144" s="11">
        <v>8254.6993569999995</v>
      </c>
      <c r="N144" s="11">
        <v>7161.5008029999999</v>
      </c>
      <c r="O144" s="11">
        <v>7161.5008029999999</v>
      </c>
      <c r="P144" s="11">
        <v>12557.627499999999</v>
      </c>
      <c r="Q144" s="11">
        <v>12557.627499999999</v>
      </c>
      <c r="R144" s="11">
        <v>12557.627499999999</v>
      </c>
      <c r="S144" s="11">
        <v>12557.627499999999</v>
      </c>
      <c r="T144" s="11">
        <v>11972.670379000001</v>
      </c>
      <c r="U144" s="11">
        <v>11453.469562</v>
      </c>
    </row>
    <row r="145" spans="1:21" x14ac:dyDescent="0.25">
      <c r="A145" s="8">
        <v>144</v>
      </c>
      <c r="B145" s="8">
        <v>20.049199999999999</v>
      </c>
      <c r="C145" s="8">
        <v>85.040300000000002</v>
      </c>
      <c r="D145" s="8" t="s">
        <v>7</v>
      </c>
      <c r="E145" s="8" t="s">
        <v>93</v>
      </c>
      <c r="F145" s="21">
        <v>2</v>
      </c>
      <c r="G145" s="8">
        <v>1061.56</v>
      </c>
      <c r="H145" s="11" t="s">
        <v>62</v>
      </c>
      <c r="I145" s="11">
        <v>1.75</v>
      </c>
      <c r="J145" s="11">
        <v>1466.0143599999999</v>
      </c>
      <c r="K145" s="11">
        <v>1285.1245359999998</v>
      </c>
      <c r="L145" s="11">
        <v>1074.9356559999999</v>
      </c>
      <c r="M145" s="11">
        <v>857.42201199999988</v>
      </c>
      <c r="N145" s="11">
        <v>603.28454799999997</v>
      </c>
      <c r="O145" s="11">
        <v>603.28454799999997</v>
      </c>
      <c r="P145" s="11">
        <v>1857.73</v>
      </c>
      <c r="Q145" s="11">
        <v>1857.73</v>
      </c>
      <c r="R145" s="11">
        <v>1857.73</v>
      </c>
      <c r="S145" s="11">
        <v>1857.73</v>
      </c>
      <c r="T145" s="11">
        <v>1721.744164</v>
      </c>
      <c r="U145" s="11">
        <v>1601.0447919999999</v>
      </c>
    </row>
    <row r="146" spans="1:21" x14ac:dyDescent="0.25">
      <c r="A146" s="8">
        <v>145</v>
      </c>
      <c r="B146" s="8">
        <v>20.045000000000002</v>
      </c>
      <c r="C146" s="8">
        <v>85.0351</v>
      </c>
      <c r="D146" s="8" t="s">
        <v>7</v>
      </c>
      <c r="E146" s="8" t="s">
        <v>93</v>
      </c>
      <c r="F146" s="21">
        <v>2</v>
      </c>
      <c r="G146" s="8">
        <v>384.65</v>
      </c>
      <c r="H146" s="11" t="s">
        <v>62</v>
      </c>
      <c r="I146" s="11">
        <v>1.75</v>
      </c>
      <c r="J146" s="11">
        <v>531.20164999999997</v>
      </c>
      <c r="K146" s="11">
        <v>465.65728999999993</v>
      </c>
      <c r="L146" s="11">
        <v>389.49658999999997</v>
      </c>
      <c r="M146" s="11">
        <v>310.681805</v>
      </c>
      <c r="N146" s="11">
        <v>218.59659500000001</v>
      </c>
      <c r="O146" s="11">
        <v>218.59659500000001</v>
      </c>
      <c r="P146" s="11">
        <v>673.13749999999993</v>
      </c>
      <c r="Q146" s="11">
        <v>673.13749999999993</v>
      </c>
      <c r="R146" s="11">
        <v>673.13749999999993</v>
      </c>
      <c r="S146" s="11">
        <v>673.13749999999993</v>
      </c>
      <c r="T146" s="11">
        <v>623.86383499999999</v>
      </c>
      <c r="U146" s="11">
        <v>580.12912999999992</v>
      </c>
    </row>
    <row r="147" spans="1:21" x14ac:dyDescent="0.25">
      <c r="A147" s="8">
        <v>146</v>
      </c>
      <c r="B147" s="8">
        <v>20.043199999999999</v>
      </c>
      <c r="C147" s="8">
        <v>85.034300000000002</v>
      </c>
      <c r="D147" s="8" t="s">
        <v>7</v>
      </c>
      <c r="E147" s="8" t="s">
        <v>93</v>
      </c>
      <c r="F147" s="21">
        <v>3</v>
      </c>
      <c r="G147" s="8">
        <v>3040.49</v>
      </c>
      <c r="H147" s="11" t="s">
        <v>62</v>
      </c>
      <c r="I147" s="11">
        <v>2.75</v>
      </c>
      <c r="J147" s="11">
        <v>7239.4066899999998</v>
      </c>
      <c r="K147" s="11">
        <v>6721.3071939999991</v>
      </c>
      <c r="L147" s="11">
        <v>6119.2901739999998</v>
      </c>
      <c r="M147" s="11">
        <v>5496.2937729999994</v>
      </c>
      <c r="N147" s="11">
        <v>4768.4004669999995</v>
      </c>
      <c r="O147" s="11">
        <v>4768.4004669999995</v>
      </c>
      <c r="P147" s="11">
        <v>8361.3474999999999</v>
      </c>
      <c r="Q147" s="11">
        <v>8361.3474999999999</v>
      </c>
      <c r="R147" s="11">
        <v>8361.3474999999999</v>
      </c>
      <c r="S147" s="11">
        <v>8361.3474999999999</v>
      </c>
      <c r="T147" s="11">
        <v>7971.8607309999998</v>
      </c>
      <c r="U147" s="11">
        <v>7626.157017999999</v>
      </c>
    </row>
    <row r="148" spans="1:21" x14ac:dyDescent="0.25">
      <c r="A148" s="8">
        <v>147</v>
      </c>
      <c r="B148" s="8">
        <v>20.041899999999998</v>
      </c>
      <c r="C148" s="8">
        <v>85.027000000000001</v>
      </c>
      <c r="D148" s="8" t="s">
        <v>7</v>
      </c>
      <c r="E148" s="8" t="s">
        <v>93</v>
      </c>
      <c r="F148" s="21">
        <v>3</v>
      </c>
      <c r="G148" s="8">
        <v>5695.96</v>
      </c>
      <c r="H148" s="11" t="s">
        <v>62</v>
      </c>
      <c r="I148" s="11">
        <v>2.75</v>
      </c>
      <c r="J148" s="11">
        <v>13562.080760000001</v>
      </c>
      <c r="K148" s="11">
        <v>12591.489175999999</v>
      </c>
      <c r="L148" s="11">
        <v>11463.689096</v>
      </c>
      <c r="M148" s="11">
        <v>10296.586892000001</v>
      </c>
      <c r="N148" s="11">
        <v>8932.9740679999995</v>
      </c>
      <c r="O148" s="11">
        <v>8932.9740679999995</v>
      </c>
      <c r="P148" s="11">
        <v>15663.89</v>
      </c>
      <c r="Q148" s="11">
        <v>15663.89</v>
      </c>
      <c r="R148" s="11">
        <v>15663.89</v>
      </c>
      <c r="S148" s="11">
        <v>15663.89</v>
      </c>
      <c r="T148" s="11">
        <v>14934.237524</v>
      </c>
      <c r="U148" s="11">
        <v>14286.606872</v>
      </c>
    </row>
    <row r="149" spans="1:21" x14ac:dyDescent="0.25">
      <c r="A149" s="8">
        <v>148</v>
      </c>
      <c r="B149" s="8">
        <v>20.0337</v>
      </c>
      <c r="C149" s="8">
        <v>85.035200000000003</v>
      </c>
      <c r="D149" s="8" t="s">
        <v>7</v>
      </c>
      <c r="E149" s="8" t="s">
        <v>93</v>
      </c>
      <c r="F149" s="21">
        <v>2</v>
      </c>
      <c r="G149" s="8">
        <v>649.66</v>
      </c>
      <c r="H149" s="11" t="s">
        <v>62</v>
      </c>
      <c r="I149" s="11">
        <v>1.75</v>
      </c>
      <c r="J149" s="11">
        <v>897.18045999999993</v>
      </c>
      <c r="K149" s="11">
        <v>786.47839599999986</v>
      </c>
      <c r="L149" s="11">
        <v>657.84571599999992</v>
      </c>
      <c r="M149" s="11">
        <v>524.73038199999996</v>
      </c>
      <c r="N149" s="11">
        <v>369.20177799999999</v>
      </c>
      <c r="O149" s="11">
        <v>369.20177799999999</v>
      </c>
      <c r="P149" s="11">
        <v>1136.905</v>
      </c>
      <c r="Q149" s="11">
        <v>1136.905</v>
      </c>
      <c r="R149" s="11">
        <v>1136.905</v>
      </c>
      <c r="S149" s="11">
        <v>1136.905</v>
      </c>
      <c r="T149" s="11">
        <v>1053.683554</v>
      </c>
      <c r="U149" s="11">
        <v>979.81721199999993</v>
      </c>
    </row>
    <row r="150" spans="1:21" x14ac:dyDescent="0.25">
      <c r="A150" s="8">
        <v>149</v>
      </c>
      <c r="B150" s="8">
        <v>20.022300000000001</v>
      </c>
      <c r="C150" s="8">
        <v>85.030900000000003</v>
      </c>
      <c r="D150" s="8" t="s">
        <v>7</v>
      </c>
      <c r="E150" s="8" t="s">
        <v>93</v>
      </c>
      <c r="F150" s="21">
        <v>2.5</v>
      </c>
      <c r="G150" s="8">
        <v>5296.08</v>
      </c>
      <c r="H150" s="11" t="s">
        <v>58</v>
      </c>
      <c r="I150" s="11">
        <v>2.25</v>
      </c>
      <c r="J150" s="11">
        <v>9961.9264800000001</v>
      </c>
      <c r="K150" s="11">
        <v>9059.474447999999</v>
      </c>
      <c r="L150" s="11">
        <v>8010.8506079999997</v>
      </c>
      <c r="M150" s="11">
        <v>6925.6838160000007</v>
      </c>
      <c r="N150" s="11">
        <v>5657.8022639999999</v>
      </c>
      <c r="O150" s="11">
        <v>5657.8022639999999</v>
      </c>
      <c r="P150" s="11">
        <v>11916.18</v>
      </c>
      <c r="Q150" s="11">
        <v>11916.18</v>
      </c>
      <c r="R150" s="11">
        <v>11916.18</v>
      </c>
      <c r="S150" s="11">
        <v>11916.18</v>
      </c>
      <c r="T150" s="11">
        <v>11237.752152000001</v>
      </c>
      <c r="U150" s="11">
        <v>10635.587856</v>
      </c>
    </row>
    <row r="151" spans="1:21" x14ac:dyDescent="0.25">
      <c r="A151" s="8">
        <v>150</v>
      </c>
      <c r="B151" s="8">
        <v>20.024899999999999</v>
      </c>
      <c r="C151" s="8">
        <v>85.032200000000003</v>
      </c>
      <c r="D151" s="8" t="s">
        <v>7</v>
      </c>
      <c r="E151" s="8" t="s">
        <v>93</v>
      </c>
      <c r="F151" s="21">
        <v>3</v>
      </c>
      <c r="G151" s="8">
        <v>806.06</v>
      </c>
      <c r="H151" s="11" t="s">
        <v>58</v>
      </c>
      <c r="I151" s="11">
        <v>2.75</v>
      </c>
      <c r="J151" s="11">
        <v>1919.2288599999999</v>
      </c>
      <c r="K151" s="11">
        <v>1781.8762359999998</v>
      </c>
      <c r="L151" s="11">
        <v>1622.2763559999999</v>
      </c>
      <c r="M151" s="11">
        <v>1457.114662</v>
      </c>
      <c r="N151" s="11">
        <v>1264.143898</v>
      </c>
      <c r="O151" s="11">
        <v>1264.143898</v>
      </c>
      <c r="P151" s="11">
        <v>2216.665</v>
      </c>
      <c r="Q151" s="11">
        <v>2216.665</v>
      </c>
      <c r="R151" s="11">
        <v>2216.665</v>
      </c>
      <c r="S151" s="11">
        <v>2216.665</v>
      </c>
      <c r="T151" s="11">
        <v>2113.4087140000001</v>
      </c>
      <c r="U151" s="11">
        <v>2021.7596919999999</v>
      </c>
    </row>
    <row r="152" spans="1:21" x14ac:dyDescent="0.25">
      <c r="A152" s="8">
        <v>151</v>
      </c>
      <c r="B152" s="8">
        <v>20.005700000000001</v>
      </c>
      <c r="C152" s="8">
        <v>85.036000000000001</v>
      </c>
      <c r="D152" s="8" t="s">
        <v>7</v>
      </c>
      <c r="E152" s="8" t="s">
        <v>93</v>
      </c>
      <c r="F152" s="21">
        <v>3</v>
      </c>
      <c r="G152" s="8">
        <v>834.92</v>
      </c>
      <c r="H152" s="11" t="s">
        <v>59</v>
      </c>
      <c r="I152" s="11">
        <v>2.75</v>
      </c>
      <c r="J152" s="11">
        <v>1987.94452</v>
      </c>
      <c r="K152" s="11">
        <v>1845.6741519999998</v>
      </c>
      <c r="L152" s="11">
        <v>1680.3599919999999</v>
      </c>
      <c r="M152" s="11">
        <v>1509.2848839999999</v>
      </c>
      <c r="N152" s="11">
        <v>1309.4050359999999</v>
      </c>
      <c r="O152" s="11">
        <v>1309.4050359999999</v>
      </c>
      <c r="P152" s="11">
        <v>2296.0299999999997</v>
      </c>
      <c r="Q152" s="11">
        <v>2296.0299999999997</v>
      </c>
      <c r="R152" s="11">
        <v>2296.0299999999997</v>
      </c>
      <c r="S152" s="11">
        <v>2296.0299999999997</v>
      </c>
      <c r="T152" s="11">
        <v>2189.076748</v>
      </c>
      <c r="U152" s="11">
        <v>2094.1463439999998</v>
      </c>
    </row>
    <row r="153" spans="1:21" x14ac:dyDescent="0.25">
      <c r="A153" s="8">
        <v>152</v>
      </c>
      <c r="B153" s="8">
        <v>20.0063</v>
      </c>
      <c r="C153" s="8">
        <v>85.037499999999994</v>
      </c>
      <c r="D153" s="8" t="s">
        <v>7</v>
      </c>
      <c r="E153" s="8" t="s">
        <v>93</v>
      </c>
      <c r="F153" s="21">
        <v>2.5</v>
      </c>
      <c r="G153" s="8">
        <v>2188.15</v>
      </c>
      <c r="H153" s="11" t="s">
        <v>59</v>
      </c>
      <c r="I153" s="11">
        <v>2.25</v>
      </c>
      <c r="J153" s="11">
        <v>4115.9101500000006</v>
      </c>
      <c r="K153" s="11">
        <v>3743.0493900000001</v>
      </c>
      <c r="L153" s="11">
        <v>3309.7956899999999</v>
      </c>
      <c r="M153" s="11">
        <v>2861.4437550000002</v>
      </c>
      <c r="N153" s="11">
        <v>2337.600645</v>
      </c>
      <c r="O153" s="11">
        <v>2337.600645</v>
      </c>
      <c r="P153" s="11">
        <v>4923.3375000000005</v>
      </c>
      <c r="Q153" s="11">
        <v>4923.3375000000005</v>
      </c>
      <c r="R153" s="11">
        <v>4923.3375000000005</v>
      </c>
      <c r="S153" s="11">
        <v>4923.3375000000005</v>
      </c>
      <c r="T153" s="11">
        <v>4643.0354850000003</v>
      </c>
      <c r="U153" s="11">
        <v>4394.2428300000001</v>
      </c>
    </row>
    <row r="154" spans="1:21" x14ac:dyDescent="0.25">
      <c r="A154" s="8">
        <v>153</v>
      </c>
      <c r="B154" s="8">
        <v>20.008900000000001</v>
      </c>
      <c r="C154" s="8">
        <v>85.051699999999997</v>
      </c>
      <c r="D154" s="8" t="s">
        <v>7</v>
      </c>
      <c r="E154" s="8" t="s">
        <v>93</v>
      </c>
      <c r="F154" s="21">
        <v>4</v>
      </c>
      <c r="G154" s="8">
        <v>3361.19</v>
      </c>
      <c r="H154" s="11" t="s">
        <v>59</v>
      </c>
      <c r="I154" s="11">
        <v>3.75</v>
      </c>
      <c r="J154" s="11">
        <v>11364.18339</v>
      </c>
      <c r="K154" s="11">
        <v>10791.436614</v>
      </c>
      <c r="L154" s="11">
        <v>10125.920994</v>
      </c>
      <c r="M154" s="11">
        <v>9437.2131630000003</v>
      </c>
      <c r="N154" s="11">
        <v>8632.5442769999991</v>
      </c>
      <c r="O154" s="11">
        <v>8632.5442769999991</v>
      </c>
      <c r="P154" s="11">
        <v>12604.4625</v>
      </c>
      <c r="Q154" s="11">
        <v>12604.4625</v>
      </c>
      <c r="R154" s="11">
        <v>12604.4625</v>
      </c>
      <c r="S154" s="11">
        <v>12604.4625</v>
      </c>
      <c r="T154" s="11">
        <v>12173.894061000001</v>
      </c>
      <c r="U154" s="11">
        <v>11791.726758000001</v>
      </c>
    </row>
    <row r="155" spans="1:21" x14ac:dyDescent="0.25">
      <c r="A155" s="8">
        <v>154</v>
      </c>
      <c r="B155" s="8">
        <v>20.009499999999999</v>
      </c>
      <c r="C155" s="8">
        <v>85.052199999999999</v>
      </c>
      <c r="D155" s="8" t="s">
        <v>7</v>
      </c>
      <c r="E155" s="8" t="s">
        <v>93</v>
      </c>
      <c r="F155" s="21">
        <v>2</v>
      </c>
      <c r="G155" s="8">
        <v>1453.04</v>
      </c>
      <c r="H155" s="11" t="s">
        <v>59</v>
      </c>
      <c r="I155" s="11">
        <v>1.75</v>
      </c>
      <c r="J155" s="11">
        <v>2006.64824</v>
      </c>
      <c r="K155" s="11">
        <v>1759.0502239999998</v>
      </c>
      <c r="L155" s="11">
        <v>1471.3483039999999</v>
      </c>
      <c r="M155" s="11">
        <v>1173.620408</v>
      </c>
      <c r="N155" s="11">
        <v>825.76263200000005</v>
      </c>
      <c r="O155" s="11">
        <v>825.76263200000005</v>
      </c>
      <c r="P155" s="11">
        <v>2542.8199999999997</v>
      </c>
      <c r="Q155" s="11">
        <v>2542.8199999999997</v>
      </c>
      <c r="R155" s="11">
        <v>2542.8199999999997</v>
      </c>
      <c r="S155" s="11">
        <v>2542.8199999999997</v>
      </c>
      <c r="T155" s="11">
        <v>2356.6855760000003</v>
      </c>
      <c r="U155" s="11">
        <v>2191.4749280000001</v>
      </c>
    </row>
    <row r="156" spans="1:21" x14ac:dyDescent="0.25">
      <c r="A156" s="8">
        <v>155</v>
      </c>
      <c r="B156" s="8">
        <v>20.0123</v>
      </c>
      <c r="C156" s="8">
        <v>85.055899999999994</v>
      </c>
      <c r="D156" s="8" t="s">
        <v>7</v>
      </c>
      <c r="E156" s="8" t="s">
        <v>93</v>
      </c>
      <c r="F156" s="21">
        <v>4</v>
      </c>
      <c r="G156" s="8">
        <v>1846.38</v>
      </c>
      <c r="H156" s="11" t="s">
        <v>59</v>
      </c>
      <c r="I156" s="11">
        <v>3.75</v>
      </c>
      <c r="J156" s="11">
        <v>6242.6107800000009</v>
      </c>
      <c r="K156" s="11">
        <v>5927.9876279999999</v>
      </c>
      <c r="L156" s="11">
        <v>5562.4043879999999</v>
      </c>
      <c r="M156" s="11">
        <v>5184.081126</v>
      </c>
      <c r="N156" s="11">
        <v>4742.0577539999995</v>
      </c>
      <c r="O156" s="11">
        <v>4742.0577539999995</v>
      </c>
      <c r="P156" s="11">
        <v>6923.9250000000002</v>
      </c>
      <c r="Q156" s="11">
        <v>6923.9250000000002</v>
      </c>
      <c r="R156" s="11">
        <v>6923.9250000000002</v>
      </c>
      <c r="S156" s="11">
        <v>6923.9250000000002</v>
      </c>
      <c r="T156" s="11">
        <v>6687.4037220000009</v>
      </c>
      <c r="U156" s="11">
        <v>6477.4703159999999</v>
      </c>
    </row>
    <row r="157" spans="1:21" x14ac:dyDescent="0.25">
      <c r="A157" s="8">
        <v>156</v>
      </c>
      <c r="B157" s="8">
        <v>20.011500000000002</v>
      </c>
      <c r="C157" s="8">
        <v>85.055700000000002</v>
      </c>
      <c r="D157" s="8" t="s">
        <v>7</v>
      </c>
      <c r="E157" s="8" t="s">
        <v>93</v>
      </c>
      <c r="F157" s="21">
        <v>2</v>
      </c>
      <c r="G157" s="8">
        <v>4978.2299999999996</v>
      </c>
      <c r="H157" s="11" t="s">
        <v>59</v>
      </c>
      <c r="I157" s="11">
        <v>1.75</v>
      </c>
      <c r="J157" s="11">
        <v>6874.935629999999</v>
      </c>
      <c r="K157" s="11">
        <v>6026.6452379999992</v>
      </c>
      <c r="L157" s="11">
        <v>5040.9556979999988</v>
      </c>
      <c r="M157" s="11">
        <v>4020.9163709999993</v>
      </c>
      <c r="N157" s="11">
        <v>2829.1281089999998</v>
      </c>
      <c r="O157" s="11">
        <v>2829.1281089999998</v>
      </c>
      <c r="P157" s="11">
        <v>8711.9025000000001</v>
      </c>
      <c r="Q157" s="11">
        <v>8711.9025000000001</v>
      </c>
      <c r="R157" s="11">
        <v>8711.9025000000001</v>
      </c>
      <c r="S157" s="11">
        <v>8711.9025000000001</v>
      </c>
      <c r="T157" s="11">
        <v>8074.191237</v>
      </c>
      <c r="U157" s="11">
        <v>7508.1664859999992</v>
      </c>
    </row>
    <row r="158" spans="1:21" x14ac:dyDescent="0.25">
      <c r="A158" s="8">
        <v>157</v>
      </c>
      <c r="B158" s="8">
        <v>20.013000000000002</v>
      </c>
      <c r="C158" s="8">
        <v>85.056100000000001</v>
      </c>
      <c r="D158" s="8" t="s">
        <v>7</v>
      </c>
      <c r="E158" s="8" t="s">
        <v>93</v>
      </c>
      <c r="F158" s="21">
        <v>3</v>
      </c>
      <c r="G158" s="8">
        <v>8097.19</v>
      </c>
      <c r="H158" s="11" t="s">
        <v>59</v>
      </c>
      <c r="I158" s="11">
        <v>2.75</v>
      </c>
      <c r="J158" s="11">
        <v>19279.409390000001</v>
      </c>
      <c r="K158" s="11">
        <v>17899.648213999997</v>
      </c>
      <c r="L158" s="11">
        <v>16296.404594</v>
      </c>
      <c r="M158" s="11">
        <v>14637.290363</v>
      </c>
      <c r="N158" s="11">
        <v>12698.823076999999</v>
      </c>
      <c r="O158" s="11">
        <v>12698.823076999999</v>
      </c>
      <c r="P158" s="11">
        <v>22267.272499999999</v>
      </c>
      <c r="Q158" s="11">
        <v>22267.272499999999</v>
      </c>
      <c r="R158" s="11">
        <v>22267.272499999999</v>
      </c>
      <c r="S158" s="11">
        <v>22267.272499999999</v>
      </c>
      <c r="T158" s="11">
        <v>21230.022461</v>
      </c>
      <c r="U158" s="11">
        <v>20309.371958</v>
      </c>
    </row>
    <row r="159" spans="1:21" x14ac:dyDescent="0.25">
      <c r="A159" s="8">
        <v>158</v>
      </c>
      <c r="B159" s="8">
        <v>20.0136</v>
      </c>
      <c r="C159" s="8">
        <v>85.050200000000004</v>
      </c>
      <c r="D159" s="8" t="s">
        <v>7</v>
      </c>
      <c r="E159" s="8" t="s">
        <v>93</v>
      </c>
      <c r="F159" s="21">
        <v>4</v>
      </c>
      <c r="G159" s="8">
        <v>14801.2</v>
      </c>
      <c r="H159" s="11" t="s">
        <v>59</v>
      </c>
      <c r="I159" s="11">
        <v>3.75</v>
      </c>
      <c r="J159" s="11">
        <v>50042.857200000006</v>
      </c>
      <c r="K159" s="11">
        <v>47520.73272</v>
      </c>
      <c r="L159" s="11">
        <v>44590.095119999998</v>
      </c>
      <c r="M159" s="11">
        <v>41557.329240000006</v>
      </c>
      <c r="N159" s="11">
        <v>38013.92196</v>
      </c>
      <c r="O159" s="11">
        <v>38013.92196</v>
      </c>
      <c r="P159" s="11">
        <v>55504.5</v>
      </c>
      <c r="Q159" s="11">
        <v>55504.5</v>
      </c>
      <c r="R159" s="11">
        <v>55504.5</v>
      </c>
      <c r="S159" s="11">
        <v>55504.5</v>
      </c>
      <c r="T159" s="11">
        <v>53608.466280000008</v>
      </c>
      <c r="U159" s="11">
        <v>51925.569840000004</v>
      </c>
    </row>
    <row r="160" spans="1:21" x14ac:dyDescent="0.25">
      <c r="A160" s="8">
        <v>159</v>
      </c>
      <c r="B160" s="8">
        <v>20.012799999999999</v>
      </c>
      <c r="C160" s="8">
        <v>85.051699999999997</v>
      </c>
      <c r="D160" s="8" t="s">
        <v>7</v>
      </c>
      <c r="E160" s="8" t="s">
        <v>93</v>
      </c>
      <c r="F160" s="21">
        <v>2</v>
      </c>
      <c r="G160" s="8">
        <v>499.14</v>
      </c>
      <c r="H160" s="11" t="s">
        <v>59</v>
      </c>
      <c r="I160" s="11">
        <v>1.75</v>
      </c>
      <c r="J160" s="11">
        <v>689.31233999999995</v>
      </c>
      <c r="K160" s="11">
        <v>604.25888399999997</v>
      </c>
      <c r="L160" s="11">
        <v>505.42916399999996</v>
      </c>
      <c r="M160" s="11">
        <v>403.15537799999998</v>
      </c>
      <c r="N160" s="11">
        <v>283.66126200000002</v>
      </c>
      <c r="O160" s="11">
        <v>283.66126200000002</v>
      </c>
      <c r="P160" s="11">
        <v>873.495</v>
      </c>
      <c r="Q160" s="11">
        <v>873.495</v>
      </c>
      <c r="R160" s="11">
        <v>873.495</v>
      </c>
      <c r="S160" s="11">
        <v>873.495</v>
      </c>
      <c r="T160" s="11">
        <v>809.55516599999999</v>
      </c>
      <c r="U160" s="11">
        <v>752.80294800000001</v>
      </c>
    </row>
    <row r="161" spans="1:21" x14ac:dyDescent="0.25">
      <c r="A161" s="8">
        <v>160</v>
      </c>
      <c r="B161" s="8">
        <v>20.015000000000001</v>
      </c>
      <c r="C161" s="8">
        <v>85.054000000000002</v>
      </c>
      <c r="D161" s="8" t="s">
        <v>7</v>
      </c>
      <c r="E161" s="8" t="s">
        <v>93</v>
      </c>
      <c r="F161" s="21">
        <v>4</v>
      </c>
      <c r="G161" s="8">
        <v>6020.76</v>
      </c>
      <c r="H161" s="11" t="s">
        <v>59</v>
      </c>
      <c r="I161" s="11">
        <v>3.75</v>
      </c>
      <c r="J161" s="11">
        <v>20356.189560000003</v>
      </c>
      <c r="K161" s="11">
        <v>19330.252056000001</v>
      </c>
      <c r="L161" s="11">
        <v>18138.141576000002</v>
      </c>
      <c r="M161" s="11">
        <v>16904.487852000002</v>
      </c>
      <c r="N161" s="11">
        <v>15463.117908</v>
      </c>
      <c r="O161" s="11">
        <v>15463.117908</v>
      </c>
      <c r="P161" s="11">
        <v>22577.850000000002</v>
      </c>
      <c r="Q161" s="11">
        <v>22577.850000000002</v>
      </c>
      <c r="R161" s="11">
        <v>22577.850000000002</v>
      </c>
      <c r="S161" s="11">
        <v>22577.850000000002</v>
      </c>
      <c r="T161" s="11">
        <v>21806.590644</v>
      </c>
      <c r="U161" s="11">
        <v>21122.030232000001</v>
      </c>
    </row>
    <row r="162" spans="1:21" x14ac:dyDescent="0.25">
      <c r="A162" s="8">
        <v>161</v>
      </c>
      <c r="B162" s="8">
        <v>20.016100000000002</v>
      </c>
      <c r="C162" s="8">
        <v>85.059899999999999</v>
      </c>
      <c r="D162" s="8" t="s">
        <v>7</v>
      </c>
      <c r="E162" s="8" t="s">
        <v>93</v>
      </c>
      <c r="F162" s="21">
        <v>4</v>
      </c>
      <c r="G162" s="8">
        <v>7645.11</v>
      </c>
      <c r="H162" s="11" t="s">
        <v>59</v>
      </c>
      <c r="I162" s="11">
        <v>3.75</v>
      </c>
      <c r="J162" s="11">
        <v>25848.116910000001</v>
      </c>
      <c r="K162" s="11">
        <v>24545.390165999997</v>
      </c>
      <c r="L162" s="11">
        <v>23031.658385999999</v>
      </c>
      <c r="M162" s="11">
        <v>21465.175347</v>
      </c>
      <c r="N162" s="11">
        <v>19634.936012999999</v>
      </c>
      <c r="O162" s="11">
        <v>19634.936012999999</v>
      </c>
      <c r="P162" s="11">
        <v>28669.162499999999</v>
      </c>
      <c r="Q162" s="11">
        <v>28669.162499999999</v>
      </c>
      <c r="R162" s="11">
        <v>28669.162499999999</v>
      </c>
      <c r="S162" s="11">
        <v>28669.162499999999</v>
      </c>
      <c r="T162" s="11">
        <v>27689.823908999999</v>
      </c>
      <c r="U162" s="11">
        <v>26820.574902</v>
      </c>
    </row>
    <row r="163" spans="1:21" x14ac:dyDescent="0.25">
      <c r="A163" s="8">
        <v>162</v>
      </c>
      <c r="B163" s="8">
        <v>20.015499999999999</v>
      </c>
      <c r="C163" s="8">
        <v>85.062200000000004</v>
      </c>
      <c r="D163" s="8" t="s">
        <v>7</v>
      </c>
      <c r="E163" s="8" t="s">
        <v>93</v>
      </c>
      <c r="F163" s="21">
        <v>4</v>
      </c>
      <c r="G163" s="8">
        <v>11921.9</v>
      </c>
      <c r="H163" s="11" t="s">
        <v>59</v>
      </c>
      <c r="I163" s="11">
        <v>3.75</v>
      </c>
      <c r="J163" s="11">
        <v>40307.943899999998</v>
      </c>
      <c r="K163" s="11">
        <v>38276.452140000001</v>
      </c>
      <c r="L163" s="11">
        <v>35915.915939999999</v>
      </c>
      <c r="M163" s="11">
        <v>33473.118629999997</v>
      </c>
      <c r="N163" s="11">
        <v>30619.015769999998</v>
      </c>
      <c r="O163" s="11">
        <v>30619.015769999998</v>
      </c>
      <c r="P163" s="11">
        <v>44707.125</v>
      </c>
      <c r="Q163" s="11">
        <v>44707.125</v>
      </c>
      <c r="R163" s="11">
        <v>44707.125</v>
      </c>
      <c r="S163" s="11">
        <v>44707.125</v>
      </c>
      <c r="T163" s="11">
        <v>43179.929609999999</v>
      </c>
      <c r="U163" s="11">
        <v>41824.40958</v>
      </c>
    </row>
    <row r="164" spans="1:21" x14ac:dyDescent="0.25">
      <c r="A164" s="8">
        <v>163</v>
      </c>
      <c r="B164" s="8">
        <v>20.017900000000001</v>
      </c>
      <c r="C164" s="8">
        <v>85.055800000000005</v>
      </c>
      <c r="D164" s="8" t="s">
        <v>7</v>
      </c>
      <c r="E164" s="8" t="s">
        <v>93</v>
      </c>
      <c r="F164" s="21">
        <v>3</v>
      </c>
      <c r="G164" s="8">
        <v>1628.98</v>
      </c>
      <c r="H164" s="11" t="s">
        <v>59</v>
      </c>
      <c r="I164" s="11">
        <v>2.75</v>
      </c>
      <c r="J164" s="11">
        <v>3878.6013800000005</v>
      </c>
      <c r="K164" s="11">
        <v>3601.0231879999997</v>
      </c>
      <c r="L164" s="11">
        <v>3278.4851479999998</v>
      </c>
      <c r="M164" s="11">
        <v>2944.7071460000002</v>
      </c>
      <c r="N164" s="11">
        <v>2554.7293340000001</v>
      </c>
      <c r="O164" s="11">
        <v>2554.7293340000001</v>
      </c>
      <c r="P164" s="11">
        <v>4479.6949999999997</v>
      </c>
      <c r="Q164" s="11">
        <v>4479.6949999999997</v>
      </c>
      <c r="R164" s="11">
        <v>4479.6949999999997</v>
      </c>
      <c r="S164" s="11">
        <v>4479.6949999999997</v>
      </c>
      <c r="T164" s="11">
        <v>4271.0226620000003</v>
      </c>
      <c r="U164" s="11">
        <v>4085.807636</v>
      </c>
    </row>
    <row r="165" spans="1:21" x14ac:dyDescent="0.25">
      <c r="A165" s="8">
        <v>164</v>
      </c>
      <c r="B165" s="8">
        <v>20.018799999999999</v>
      </c>
      <c r="C165" s="8">
        <v>85.055999999999997</v>
      </c>
      <c r="D165" s="8" t="s">
        <v>7</v>
      </c>
      <c r="E165" s="8" t="s">
        <v>93</v>
      </c>
      <c r="F165" s="21">
        <v>3</v>
      </c>
      <c r="G165" s="8">
        <v>9209.61</v>
      </c>
      <c r="H165" s="11" t="s">
        <v>59</v>
      </c>
      <c r="I165" s="11">
        <v>2.75</v>
      </c>
      <c r="J165" s="11">
        <v>21928.081410000003</v>
      </c>
      <c r="K165" s="11">
        <v>20358.763866000001</v>
      </c>
      <c r="L165" s="11">
        <v>18535.261086000002</v>
      </c>
      <c r="M165" s="11">
        <v>16648.211997000002</v>
      </c>
      <c r="N165" s="11">
        <v>14443.431363000002</v>
      </c>
      <c r="O165" s="11">
        <v>14443.431363000002</v>
      </c>
      <c r="P165" s="11">
        <v>25326.427500000002</v>
      </c>
      <c r="Q165" s="11">
        <v>25326.427500000002</v>
      </c>
      <c r="R165" s="11">
        <v>25326.427500000002</v>
      </c>
      <c r="S165" s="11">
        <v>25326.427500000002</v>
      </c>
      <c r="T165" s="11">
        <v>24146.676459000002</v>
      </c>
      <c r="U165" s="11">
        <v>23099.543802</v>
      </c>
    </row>
    <row r="166" spans="1:21" x14ac:dyDescent="0.25">
      <c r="A166" s="8">
        <v>165</v>
      </c>
      <c r="B166" s="8">
        <v>20.0197</v>
      </c>
      <c r="C166" s="8">
        <v>85.056100000000001</v>
      </c>
      <c r="D166" s="8" t="s">
        <v>7</v>
      </c>
      <c r="E166" s="8" t="s">
        <v>93</v>
      </c>
      <c r="F166" s="21">
        <v>3</v>
      </c>
      <c r="G166" s="8">
        <v>4443.33</v>
      </c>
      <c r="H166" s="11" t="s">
        <v>59</v>
      </c>
      <c r="I166" s="11">
        <v>2.75</v>
      </c>
      <c r="J166" s="11">
        <v>10579.568730000001</v>
      </c>
      <c r="K166" s="11">
        <v>9822.4252980000001</v>
      </c>
      <c r="L166" s="11">
        <v>8942.6459579999992</v>
      </c>
      <c r="M166" s="11">
        <v>8032.207641</v>
      </c>
      <c r="N166" s="11">
        <v>6968.4744389999996</v>
      </c>
      <c r="O166" s="11">
        <v>6968.4744389999996</v>
      </c>
      <c r="P166" s="11">
        <v>12219.157499999999</v>
      </c>
      <c r="Q166" s="11">
        <v>12219.157499999999</v>
      </c>
      <c r="R166" s="11">
        <v>12219.157499999999</v>
      </c>
      <c r="S166" s="11">
        <v>12219.157499999999</v>
      </c>
      <c r="T166" s="11">
        <v>11649.966926999999</v>
      </c>
      <c r="U166" s="11">
        <v>11144.760306</v>
      </c>
    </row>
    <row r="167" spans="1:21" x14ac:dyDescent="0.25">
      <c r="A167" s="8">
        <v>166</v>
      </c>
      <c r="B167" s="8">
        <v>20.020199999999999</v>
      </c>
      <c r="C167" s="8">
        <v>85.0535</v>
      </c>
      <c r="D167" s="8" t="s">
        <v>7</v>
      </c>
      <c r="E167" s="8" t="s">
        <v>93</v>
      </c>
      <c r="F167" s="21">
        <v>3</v>
      </c>
      <c r="G167" s="8">
        <v>5129.92</v>
      </c>
      <c r="H167" s="11" t="s">
        <v>59</v>
      </c>
      <c r="I167" s="11">
        <v>2.75</v>
      </c>
      <c r="J167" s="11">
        <v>12214.339520000001</v>
      </c>
      <c r="K167" s="11">
        <v>11340.201152</v>
      </c>
      <c r="L167" s="11">
        <v>10324.476992</v>
      </c>
      <c r="M167" s="11">
        <v>9273.3563840000006</v>
      </c>
      <c r="N167" s="11">
        <v>8045.2535360000002</v>
      </c>
      <c r="O167" s="11">
        <v>8045.2535360000002</v>
      </c>
      <c r="P167" s="11">
        <v>14107.28</v>
      </c>
      <c r="Q167" s="11">
        <v>14107.28</v>
      </c>
      <c r="R167" s="11">
        <v>14107.28</v>
      </c>
      <c r="S167" s="11">
        <v>14107.28</v>
      </c>
      <c r="T167" s="11">
        <v>13450.137248000001</v>
      </c>
      <c r="U167" s="11">
        <v>12866.865344</v>
      </c>
    </row>
    <row r="168" spans="1:21" x14ac:dyDescent="0.25">
      <c r="A168" s="8">
        <v>167</v>
      </c>
      <c r="B168" s="8">
        <v>20.020099999999999</v>
      </c>
      <c r="C168" s="8">
        <v>85.0595</v>
      </c>
      <c r="D168" s="8" t="s">
        <v>7</v>
      </c>
      <c r="E168" s="8" t="s">
        <v>93</v>
      </c>
      <c r="F168" s="21">
        <v>2</v>
      </c>
      <c r="G168" s="8">
        <v>1205.73</v>
      </c>
      <c r="H168" s="11" t="s">
        <v>59</v>
      </c>
      <c r="I168" s="11">
        <v>1.75</v>
      </c>
      <c r="J168" s="11">
        <v>1665.11313</v>
      </c>
      <c r="K168" s="11">
        <v>1459.6567379999999</v>
      </c>
      <c r="L168" s="11">
        <v>1220.922198</v>
      </c>
      <c r="M168" s="11">
        <v>973.86812099999997</v>
      </c>
      <c r="N168" s="11">
        <v>685.21635900000001</v>
      </c>
      <c r="O168" s="11">
        <v>685.21635900000001</v>
      </c>
      <c r="P168" s="11">
        <v>2110.0275000000001</v>
      </c>
      <c r="Q168" s="11">
        <v>2110.0275000000001</v>
      </c>
      <c r="R168" s="11">
        <v>2110.0275000000001</v>
      </c>
      <c r="S168" s="11">
        <v>2110.0275000000001</v>
      </c>
      <c r="T168" s="11">
        <v>1955.5734870000001</v>
      </c>
      <c r="U168" s="11">
        <v>1818.481986</v>
      </c>
    </row>
    <row r="169" spans="1:21" x14ac:dyDescent="0.25">
      <c r="A169" s="8">
        <v>168</v>
      </c>
      <c r="B169" s="8">
        <v>20.023900000000001</v>
      </c>
      <c r="C169" s="8">
        <v>85.049300000000002</v>
      </c>
      <c r="D169" s="8" t="s">
        <v>7</v>
      </c>
      <c r="E169" s="8" t="s">
        <v>93</v>
      </c>
      <c r="F169" s="21">
        <v>3</v>
      </c>
      <c r="G169" s="8">
        <v>1916.72</v>
      </c>
      <c r="H169" s="11" t="s">
        <v>59</v>
      </c>
      <c r="I169" s="11">
        <v>2.75</v>
      </c>
      <c r="J169" s="11">
        <v>4563.7103200000001</v>
      </c>
      <c r="K169" s="11">
        <v>4237.101232</v>
      </c>
      <c r="L169" s="11">
        <v>3857.5906719999998</v>
      </c>
      <c r="M169" s="11">
        <v>3464.8547440000002</v>
      </c>
      <c r="N169" s="11">
        <v>3005.9919760000002</v>
      </c>
      <c r="O169" s="11">
        <v>3005.9919760000002</v>
      </c>
      <c r="P169" s="11">
        <v>5270.9800000000005</v>
      </c>
      <c r="Q169" s="11">
        <v>5270.9800000000005</v>
      </c>
      <c r="R169" s="11">
        <v>5270.9800000000005</v>
      </c>
      <c r="S169" s="11">
        <v>5270.9800000000005</v>
      </c>
      <c r="T169" s="11">
        <v>5025.4481679999999</v>
      </c>
      <c r="U169" s="11">
        <v>4807.5171040000005</v>
      </c>
    </row>
    <row r="170" spans="1:21" x14ac:dyDescent="0.25">
      <c r="A170" s="8">
        <v>169</v>
      </c>
      <c r="B170" s="8">
        <v>20.025200000000002</v>
      </c>
      <c r="C170" s="8">
        <v>85.047300000000007</v>
      </c>
      <c r="D170" s="8" t="s">
        <v>7</v>
      </c>
      <c r="E170" s="8" t="s">
        <v>93</v>
      </c>
      <c r="F170" s="21">
        <v>3.5</v>
      </c>
      <c r="G170" s="8">
        <v>3287.36</v>
      </c>
      <c r="H170" s="11" t="s">
        <v>59</v>
      </c>
      <c r="I170" s="11">
        <v>3.25</v>
      </c>
      <c r="J170" s="11">
        <v>9470.8841600000014</v>
      </c>
      <c r="K170" s="11">
        <v>8910.7180160000007</v>
      </c>
      <c r="L170" s="11">
        <v>8259.8207359999997</v>
      </c>
      <c r="M170" s="11">
        <v>7586.2406720000008</v>
      </c>
      <c r="N170" s="11">
        <v>6799.2466879999993</v>
      </c>
      <c r="O170" s="11">
        <v>6799.2466879999993</v>
      </c>
      <c r="P170" s="11">
        <v>10683.92</v>
      </c>
      <c r="Q170" s="11">
        <v>10683.92</v>
      </c>
      <c r="R170" s="11">
        <v>10683.92</v>
      </c>
      <c r="S170" s="11">
        <v>10683.92</v>
      </c>
      <c r="T170" s="11">
        <v>10262.809184000002</v>
      </c>
      <c r="U170" s="11">
        <v>9889.036352000001</v>
      </c>
    </row>
    <row r="171" spans="1:21" x14ac:dyDescent="0.25">
      <c r="A171" s="8">
        <v>170</v>
      </c>
      <c r="B171" s="8">
        <v>20.0259</v>
      </c>
      <c r="C171" s="8">
        <v>85.047300000000007</v>
      </c>
      <c r="D171" s="8" t="s">
        <v>7</v>
      </c>
      <c r="E171" s="8" t="s">
        <v>93</v>
      </c>
      <c r="F171" s="21">
        <v>4</v>
      </c>
      <c r="G171" s="8">
        <v>2144.63</v>
      </c>
      <c r="H171" s="11" t="s">
        <v>59</v>
      </c>
      <c r="I171" s="11">
        <v>3.75</v>
      </c>
      <c r="J171" s="11">
        <v>7250.9940300000007</v>
      </c>
      <c r="K171" s="11">
        <v>6885.549078</v>
      </c>
      <c r="L171" s="11">
        <v>6460.9123380000001</v>
      </c>
      <c r="M171" s="11">
        <v>6021.4776510000002</v>
      </c>
      <c r="N171" s="11">
        <v>5508.0532290000001</v>
      </c>
      <c r="O171" s="11">
        <v>5508.0532290000001</v>
      </c>
      <c r="P171" s="11">
        <v>8042.3625000000002</v>
      </c>
      <c r="Q171" s="11">
        <v>8042.3625000000002</v>
      </c>
      <c r="R171" s="11">
        <v>8042.3625000000002</v>
      </c>
      <c r="S171" s="11">
        <v>8042.3625000000002</v>
      </c>
      <c r="T171" s="11">
        <v>7767.6353970000009</v>
      </c>
      <c r="U171" s="11">
        <v>7523.7909660000005</v>
      </c>
    </row>
    <row r="172" spans="1:21" x14ac:dyDescent="0.25">
      <c r="A172" s="8">
        <v>171</v>
      </c>
      <c r="B172" s="8">
        <v>20.026299999999999</v>
      </c>
      <c r="C172" s="8">
        <v>85.048100000000005</v>
      </c>
      <c r="D172" s="8" t="s">
        <v>7</v>
      </c>
      <c r="E172" s="8" t="s">
        <v>93</v>
      </c>
      <c r="F172" s="21">
        <v>4</v>
      </c>
      <c r="G172" s="8">
        <v>1260.23</v>
      </c>
      <c r="H172" s="11" t="s">
        <v>59</v>
      </c>
      <c r="I172" s="11">
        <v>3.75</v>
      </c>
      <c r="J172" s="11">
        <v>4260.83763</v>
      </c>
      <c r="K172" s="11">
        <v>4046.0944380000001</v>
      </c>
      <c r="L172" s="11">
        <v>3796.568898</v>
      </c>
      <c r="M172" s="11">
        <v>3538.3477710000002</v>
      </c>
      <c r="N172" s="11">
        <v>3236.6487089999996</v>
      </c>
      <c r="O172" s="11">
        <v>3236.6487089999996</v>
      </c>
      <c r="P172" s="11">
        <v>4725.8625000000002</v>
      </c>
      <c r="Q172" s="11">
        <v>4725.8625000000002</v>
      </c>
      <c r="R172" s="11">
        <v>4725.8625000000002</v>
      </c>
      <c r="S172" s="11">
        <v>4725.8625000000002</v>
      </c>
      <c r="T172" s="11">
        <v>4564.4270370000004</v>
      </c>
      <c r="U172" s="11">
        <v>4421.1388859999997</v>
      </c>
    </row>
    <row r="173" spans="1:21" x14ac:dyDescent="0.25">
      <c r="A173" s="8">
        <v>172</v>
      </c>
      <c r="B173" s="8">
        <v>20.029699999999998</v>
      </c>
      <c r="C173" s="8">
        <v>85.049000000000007</v>
      </c>
      <c r="D173" s="8" t="s">
        <v>7</v>
      </c>
      <c r="E173" s="8" t="s">
        <v>93</v>
      </c>
      <c r="F173" s="21">
        <v>2</v>
      </c>
      <c r="G173" s="8">
        <v>412.47</v>
      </c>
      <c r="H173" s="11" t="s">
        <v>59</v>
      </c>
      <c r="I173" s="11">
        <v>1.75</v>
      </c>
      <c r="J173" s="11">
        <v>569.62107000000003</v>
      </c>
      <c r="K173" s="11">
        <v>499.33618200000001</v>
      </c>
      <c r="L173" s="11">
        <v>417.66712200000001</v>
      </c>
      <c r="M173" s="11">
        <v>333.152019</v>
      </c>
      <c r="N173" s="11">
        <v>234.40670100000003</v>
      </c>
      <c r="O173" s="11">
        <v>234.40670100000003</v>
      </c>
      <c r="P173" s="11">
        <v>721.82249999999999</v>
      </c>
      <c r="Q173" s="11">
        <v>721.82249999999999</v>
      </c>
      <c r="R173" s="11">
        <v>721.82249999999999</v>
      </c>
      <c r="S173" s="11">
        <v>721.82249999999999</v>
      </c>
      <c r="T173" s="11">
        <v>668.98509300000012</v>
      </c>
      <c r="U173" s="11">
        <v>622.08725400000003</v>
      </c>
    </row>
    <row r="174" spans="1:21" x14ac:dyDescent="0.25">
      <c r="A174" s="8">
        <v>173</v>
      </c>
      <c r="B174" s="8">
        <v>20.017700000000001</v>
      </c>
      <c r="C174" s="8">
        <v>85.045100000000005</v>
      </c>
      <c r="D174" s="8" t="s">
        <v>7</v>
      </c>
      <c r="E174" s="8" t="s">
        <v>93</v>
      </c>
      <c r="F174" s="21">
        <v>2.5</v>
      </c>
      <c r="G174" s="8">
        <v>3598.68</v>
      </c>
      <c r="H174" s="11" t="s">
        <v>59</v>
      </c>
      <c r="I174" s="11">
        <v>2.25</v>
      </c>
      <c r="J174" s="11">
        <v>6769.11708</v>
      </c>
      <c r="K174" s="11">
        <v>6155.9020079999991</v>
      </c>
      <c r="L174" s="11">
        <v>5443.3633679999994</v>
      </c>
      <c r="M174" s="11">
        <v>4705.9938359999996</v>
      </c>
      <c r="N174" s="11">
        <v>3844.4698439999997</v>
      </c>
      <c r="O174" s="11">
        <v>3844.4698439999997</v>
      </c>
      <c r="P174" s="11">
        <v>8097.03</v>
      </c>
      <c r="Q174" s="11">
        <v>8097.03</v>
      </c>
      <c r="R174" s="11">
        <v>8097.03</v>
      </c>
      <c r="S174" s="11">
        <v>8097.03</v>
      </c>
      <c r="T174" s="11">
        <v>7636.039092</v>
      </c>
      <c r="U174" s="11">
        <v>7226.8691759999992</v>
      </c>
    </row>
    <row r="175" spans="1:21" x14ac:dyDescent="0.25">
      <c r="A175" s="8">
        <v>174</v>
      </c>
      <c r="B175" s="8">
        <v>20.027799999999999</v>
      </c>
      <c r="C175" s="8">
        <v>85.063199999999995</v>
      </c>
      <c r="D175" s="8" t="s">
        <v>7</v>
      </c>
      <c r="E175" s="8" t="s">
        <v>93</v>
      </c>
      <c r="F175" s="21">
        <v>2</v>
      </c>
      <c r="G175" s="8">
        <v>30168.26</v>
      </c>
      <c r="H175" s="11" t="s">
        <v>54</v>
      </c>
      <c r="I175" s="11">
        <v>1.75</v>
      </c>
      <c r="J175" s="11">
        <v>41662.367059999997</v>
      </c>
      <c r="K175" s="11">
        <v>36521.695555999991</v>
      </c>
      <c r="L175" s="11">
        <v>30548.380075999998</v>
      </c>
      <c r="M175" s="11">
        <v>24366.903601999999</v>
      </c>
      <c r="N175" s="11">
        <v>17144.622157999998</v>
      </c>
      <c r="O175" s="11">
        <v>17144.622157999998</v>
      </c>
      <c r="P175" s="11">
        <v>52794.454999999994</v>
      </c>
      <c r="Q175" s="11">
        <v>52794.454999999994</v>
      </c>
      <c r="R175" s="11">
        <v>52794.454999999994</v>
      </c>
      <c r="S175" s="11">
        <v>52794.454999999994</v>
      </c>
      <c r="T175" s="11">
        <v>48929.900893999999</v>
      </c>
      <c r="U175" s="11">
        <v>45499.769732000001</v>
      </c>
    </row>
    <row r="176" spans="1:21" x14ac:dyDescent="0.25">
      <c r="A176" s="8">
        <v>175</v>
      </c>
      <c r="B176" s="8">
        <v>20.0304</v>
      </c>
      <c r="C176" s="8">
        <v>85.055599999999998</v>
      </c>
      <c r="D176" s="8" t="s">
        <v>7</v>
      </c>
      <c r="E176" s="8" t="s">
        <v>93</v>
      </c>
      <c r="F176" s="21">
        <v>2</v>
      </c>
      <c r="G176" s="8">
        <v>532.88</v>
      </c>
      <c r="H176" s="11" t="s">
        <v>54</v>
      </c>
      <c r="I176" s="11">
        <v>1.75</v>
      </c>
      <c r="J176" s="11">
        <v>735.90728000000001</v>
      </c>
      <c r="K176" s="11">
        <v>645.10452799999996</v>
      </c>
      <c r="L176" s="11">
        <v>539.59428800000001</v>
      </c>
      <c r="M176" s="11">
        <v>430.40717599999999</v>
      </c>
      <c r="N176" s="11">
        <v>302.83570400000002</v>
      </c>
      <c r="O176" s="11">
        <v>302.83570400000002</v>
      </c>
      <c r="P176" s="11">
        <v>932.54</v>
      </c>
      <c r="Q176" s="11">
        <v>932.54</v>
      </c>
      <c r="R176" s="11">
        <v>932.54</v>
      </c>
      <c r="S176" s="11">
        <v>932.54</v>
      </c>
      <c r="T176" s="11">
        <v>864.27807200000007</v>
      </c>
      <c r="U176" s="11">
        <v>803.689616</v>
      </c>
    </row>
    <row r="177" spans="1:21" x14ac:dyDescent="0.25">
      <c r="A177" s="8">
        <v>176</v>
      </c>
      <c r="B177" s="8">
        <v>20.033200000000001</v>
      </c>
      <c r="C177" s="8">
        <v>85.051100000000005</v>
      </c>
      <c r="D177" s="8" t="s">
        <v>7</v>
      </c>
      <c r="E177" s="8" t="s">
        <v>93</v>
      </c>
      <c r="F177" s="21">
        <v>2</v>
      </c>
      <c r="G177" s="8">
        <v>1864.37</v>
      </c>
      <c r="H177" s="11" t="s">
        <v>54</v>
      </c>
      <c r="I177" s="11">
        <v>1.75</v>
      </c>
      <c r="J177" s="11">
        <v>2574.69497</v>
      </c>
      <c r="K177" s="11">
        <v>2257.0063219999997</v>
      </c>
      <c r="L177" s="11">
        <v>1887.8610619999997</v>
      </c>
      <c r="M177" s="11">
        <v>1505.851649</v>
      </c>
      <c r="N177" s="11">
        <v>1059.521471</v>
      </c>
      <c r="O177" s="11">
        <v>1059.521471</v>
      </c>
      <c r="P177" s="11">
        <v>3262.6475</v>
      </c>
      <c r="Q177" s="11">
        <v>3262.6475</v>
      </c>
      <c r="R177" s="11">
        <v>3262.6475</v>
      </c>
      <c r="S177" s="11">
        <v>3262.6475</v>
      </c>
      <c r="T177" s="11">
        <v>3023.8217030000001</v>
      </c>
      <c r="U177" s="11">
        <v>2811.8428339999996</v>
      </c>
    </row>
    <row r="178" spans="1:21" x14ac:dyDescent="0.25">
      <c r="A178" s="8">
        <v>177</v>
      </c>
      <c r="B178" s="8">
        <v>20.033300000000001</v>
      </c>
      <c r="C178" s="8">
        <v>85.0488</v>
      </c>
      <c r="D178" s="8" t="s">
        <v>7</v>
      </c>
      <c r="E178" s="8" t="s">
        <v>93</v>
      </c>
      <c r="F178" s="21">
        <v>2</v>
      </c>
      <c r="G178" s="8">
        <v>1053.96</v>
      </c>
      <c r="H178" s="11" t="s">
        <v>54</v>
      </c>
      <c r="I178" s="11">
        <v>1.75</v>
      </c>
      <c r="J178" s="11">
        <v>1455.5187600000002</v>
      </c>
      <c r="K178" s="11">
        <v>1275.923976</v>
      </c>
      <c r="L178" s="11">
        <v>1067.239896</v>
      </c>
      <c r="M178" s="11">
        <v>851.28349200000002</v>
      </c>
      <c r="N178" s="11">
        <v>598.9654680000001</v>
      </c>
      <c r="O178" s="11">
        <v>598.9654680000001</v>
      </c>
      <c r="P178" s="11">
        <v>1844.43</v>
      </c>
      <c r="Q178" s="11">
        <v>1844.43</v>
      </c>
      <c r="R178" s="11">
        <v>1844.43</v>
      </c>
      <c r="S178" s="11">
        <v>1844.43</v>
      </c>
      <c r="T178" s="11">
        <v>1709.4177240000001</v>
      </c>
      <c r="U178" s="11">
        <v>1589.5824720000001</v>
      </c>
    </row>
    <row r="179" spans="1:21" x14ac:dyDescent="0.25">
      <c r="A179" s="8">
        <v>178</v>
      </c>
      <c r="B179" s="8">
        <v>20.034800000000001</v>
      </c>
      <c r="C179" s="8">
        <v>85.051199999999994</v>
      </c>
      <c r="D179" s="8" t="s">
        <v>7</v>
      </c>
      <c r="E179" s="8" t="s">
        <v>93</v>
      </c>
      <c r="F179" s="21">
        <v>3.6</v>
      </c>
      <c r="G179" s="8">
        <v>5408.82</v>
      </c>
      <c r="H179" s="11" t="s">
        <v>54</v>
      </c>
      <c r="I179" s="11">
        <v>3.35</v>
      </c>
      <c r="J179" s="11">
        <v>16123.692419999998</v>
      </c>
      <c r="K179" s="11">
        <v>15202.029492</v>
      </c>
      <c r="L179" s="11">
        <v>14131.083132</v>
      </c>
      <c r="M179" s="11">
        <v>13022.815914000001</v>
      </c>
      <c r="N179" s="11">
        <v>11727.944406000001</v>
      </c>
      <c r="O179" s="11">
        <v>11727.944406000001</v>
      </c>
      <c r="P179" s="11">
        <v>18119.546999999999</v>
      </c>
      <c r="Q179" s="11">
        <v>18119.546999999999</v>
      </c>
      <c r="R179" s="11">
        <v>18119.546999999999</v>
      </c>
      <c r="S179" s="11">
        <v>18119.546999999999</v>
      </c>
      <c r="T179" s="11">
        <v>17426.677157999999</v>
      </c>
      <c r="U179" s="11">
        <v>16811.694324</v>
      </c>
    </row>
    <row r="180" spans="1:21" x14ac:dyDescent="0.25">
      <c r="A180" s="8">
        <v>179</v>
      </c>
      <c r="B180" s="8">
        <v>20.025400000000001</v>
      </c>
      <c r="C180" s="8">
        <v>85.071700000000007</v>
      </c>
      <c r="D180" s="8" t="s">
        <v>7</v>
      </c>
      <c r="E180" s="8" t="s">
        <v>93</v>
      </c>
      <c r="F180" s="21">
        <v>2</v>
      </c>
      <c r="G180" s="8">
        <v>1341.21</v>
      </c>
      <c r="H180" s="11" t="s">
        <v>54</v>
      </c>
      <c r="I180" s="11">
        <v>1.75</v>
      </c>
      <c r="J180" s="11">
        <v>1852.21101</v>
      </c>
      <c r="K180" s="11">
        <v>1623.6688259999999</v>
      </c>
      <c r="L180" s="11">
        <v>1358.109246</v>
      </c>
      <c r="M180" s="11">
        <v>1083.2953170000001</v>
      </c>
      <c r="N180" s="11">
        <v>762.20964300000003</v>
      </c>
      <c r="O180" s="11">
        <v>762.20964300000003</v>
      </c>
      <c r="P180" s="11">
        <v>2347.1175000000003</v>
      </c>
      <c r="Q180" s="11">
        <v>2347.1175000000003</v>
      </c>
      <c r="R180" s="11">
        <v>2347.1175000000003</v>
      </c>
      <c r="S180" s="11">
        <v>2347.1175000000003</v>
      </c>
      <c r="T180" s="11">
        <v>2175.3084990000002</v>
      </c>
      <c r="U180" s="11">
        <v>2022.8129220000001</v>
      </c>
    </row>
    <row r="181" spans="1:21" x14ac:dyDescent="0.25">
      <c r="A181" s="8">
        <v>180</v>
      </c>
      <c r="B181" s="8">
        <v>20.024999999999999</v>
      </c>
      <c r="C181" s="8">
        <v>85.070899999999995</v>
      </c>
      <c r="D181" s="8" t="s">
        <v>7</v>
      </c>
      <c r="E181" s="8" t="s">
        <v>93</v>
      </c>
      <c r="F181" s="21">
        <v>2</v>
      </c>
      <c r="G181" s="8">
        <v>872.79</v>
      </c>
      <c r="H181" s="11" t="s">
        <v>54</v>
      </c>
      <c r="I181" s="11">
        <v>1.75</v>
      </c>
      <c r="J181" s="11">
        <v>1205.3229899999999</v>
      </c>
      <c r="K181" s="11">
        <v>1056.5995739999998</v>
      </c>
      <c r="L181" s="11">
        <v>883.78715399999987</v>
      </c>
      <c r="M181" s="11">
        <v>704.95248299999992</v>
      </c>
      <c r="N181" s="11">
        <v>496.00655699999999</v>
      </c>
      <c r="O181" s="11">
        <v>496.00655699999999</v>
      </c>
      <c r="P181" s="11">
        <v>1527.3824999999999</v>
      </c>
      <c r="Q181" s="11">
        <v>1527.3824999999999</v>
      </c>
      <c r="R181" s="11">
        <v>1527.3824999999999</v>
      </c>
      <c r="S181" s="11">
        <v>1527.3824999999999</v>
      </c>
      <c r="T181" s="11">
        <v>1415.5781010000001</v>
      </c>
      <c r="U181" s="11">
        <v>1316.341878</v>
      </c>
    </row>
    <row r="182" spans="1:21" x14ac:dyDescent="0.25">
      <c r="A182" s="8">
        <v>181</v>
      </c>
      <c r="B182" s="8">
        <v>20.031400000000001</v>
      </c>
      <c r="C182" s="8">
        <v>85.085300000000004</v>
      </c>
      <c r="D182" s="8" t="s">
        <v>7</v>
      </c>
      <c r="E182" s="8" t="s">
        <v>93</v>
      </c>
      <c r="F182" s="21">
        <v>4</v>
      </c>
      <c r="G182" s="8">
        <v>5590.64</v>
      </c>
      <c r="H182" s="11" t="s">
        <v>54</v>
      </c>
      <c r="I182" s="11">
        <v>3.75</v>
      </c>
      <c r="J182" s="11">
        <v>18901.953840000002</v>
      </c>
      <c r="K182" s="11">
        <v>17949.308784000001</v>
      </c>
      <c r="L182" s="11">
        <v>16842.362064000001</v>
      </c>
      <c r="M182" s="11">
        <v>15696.839928000001</v>
      </c>
      <c r="N182" s="11">
        <v>14358.440712</v>
      </c>
      <c r="O182" s="11">
        <v>14358.440712</v>
      </c>
      <c r="P182" s="11">
        <v>20964.900000000001</v>
      </c>
      <c r="Q182" s="11">
        <v>20964.900000000001</v>
      </c>
      <c r="R182" s="11">
        <v>20964.900000000001</v>
      </c>
      <c r="S182" s="11">
        <v>20964.900000000001</v>
      </c>
      <c r="T182" s="11">
        <v>20248.739016000003</v>
      </c>
      <c r="U182" s="11">
        <v>19613.083248000003</v>
      </c>
    </row>
    <row r="183" spans="1:21" x14ac:dyDescent="0.25">
      <c r="A183" s="8">
        <v>182</v>
      </c>
      <c r="B183" s="8">
        <v>20.033300000000001</v>
      </c>
      <c r="C183" s="8">
        <v>85.083299999999994</v>
      </c>
      <c r="D183" s="8" t="s">
        <v>7</v>
      </c>
      <c r="E183" s="8" t="s">
        <v>93</v>
      </c>
      <c r="F183" s="21">
        <v>4</v>
      </c>
      <c r="G183" s="8">
        <v>9833.4500000000007</v>
      </c>
      <c r="H183" s="11" t="s">
        <v>54</v>
      </c>
      <c r="I183" s="11">
        <v>3.75</v>
      </c>
      <c r="J183" s="11">
        <v>33246.894450000007</v>
      </c>
      <c r="K183" s="11">
        <v>31571.274570000001</v>
      </c>
      <c r="L183" s="11">
        <v>29624.251470000003</v>
      </c>
      <c r="M183" s="11">
        <v>27609.377565000003</v>
      </c>
      <c r="N183" s="11">
        <v>25255.249635</v>
      </c>
      <c r="O183" s="11">
        <v>25255.249635</v>
      </c>
      <c r="P183" s="11">
        <v>36875.4375</v>
      </c>
      <c r="Q183" s="11">
        <v>36875.4375</v>
      </c>
      <c r="R183" s="11">
        <v>36875.4375</v>
      </c>
      <c r="S183" s="11">
        <v>36875.4375</v>
      </c>
      <c r="T183" s="11">
        <v>35615.772555000003</v>
      </c>
      <c r="U183" s="11">
        <v>34497.709289999999</v>
      </c>
    </row>
    <row r="184" spans="1:21" x14ac:dyDescent="0.25">
      <c r="A184" s="8">
        <v>183</v>
      </c>
      <c r="B184" s="8">
        <v>20.036100000000001</v>
      </c>
      <c r="C184" s="8">
        <v>85.080799999999996</v>
      </c>
      <c r="D184" s="8" t="s">
        <v>7</v>
      </c>
      <c r="E184" s="8" t="s">
        <v>93</v>
      </c>
      <c r="F184" s="21">
        <v>3</v>
      </c>
      <c r="G184" s="8">
        <v>12382.63</v>
      </c>
      <c r="H184" s="11" t="s">
        <v>54</v>
      </c>
      <c r="I184" s="11">
        <v>2.75</v>
      </c>
      <c r="J184" s="11">
        <v>29483.042030000001</v>
      </c>
      <c r="K184" s="11">
        <v>27373.041877999996</v>
      </c>
      <c r="L184" s="11">
        <v>24921.281137999998</v>
      </c>
      <c r="M184" s="11">
        <v>22384.080250999999</v>
      </c>
      <c r="N184" s="11">
        <v>19419.678628999998</v>
      </c>
      <c r="O184" s="11">
        <v>19419.678628999998</v>
      </c>
      <c r="P184" s="11">
        <v>34052.232499999998</v>
      </c>
      <c r="Q184" s="11">
        <v>34052.232499999998</v>
      </c>
      <c r="R184" s="11">
        <v>34052.232499999998</v>
      </c>
      <c r="S184" s="11">
        <v>34052.232499999998</v>
      </c>
      <c r="T184" s="11">
        <v>32466.017596999998</v>
      </c>
      <c r="U184" s="11">
        <v>31058.112565999996</v>
      </c>
    </row>
    <row r="185" spans="1:21" x14ac:dyDescent="0.25">
      <c r="A185" s="8">
        <v>184</v>
      </c>
      <c r="B185" s="8">
        <v>20.034199999999998</v>
      </c>
      <c r="C185" s="8">
        <v>85.076400000000007</v>
      </c>
      <c r="D185" s="8" t="s">
        <v>7</v>
      </c>
      <c r="E185" s="8" t="s">
        <v>93</v>
      </c>
      <c r="F185" s="21">
        <v>2</v>
      </c>
      <c r="G185" s="8">
        <v>5590.36</v>
      </c>
      <c r="H185" s="11" t="s">
        <v>54</v>
      </c>
      <c r="I185" s="11">
        <v>1.75</v>
      </c>
      <c r="J185" s="11">
        <v>7720.2871599999999</v>
      </c>
      <c r="K185" s="11">
        <v>6767.6898159999992</v>
      </c>
      <c r="L185" s="11">
        <v>5660.7985359999993</v>
      </c>
      <c r="M185" s="11">
        <v>4515.333772</v>
      </c>
      <c r="N185" s="11">
        <v>3177.0015880000001</v>
      </c>
      <c r="O185" s="11">
        <v>3177.0015880000001</v>
      </c>
      <c r="P185" s="11">
        <v>9783.1299999999992</v>
      </c>
      <c r="Q185" s="11">
        <v>9783.1299999999992</v>
      </c>
      <c r="R185" s="11">
        <v>9783.1299999999992</v>
      </c>
      <c r="S185" s="11">
        <v>9783.1299999999992</v>
      </c>
      <c r="T185" s="11">
        <v>9067.0048839999999</v>
      </c>
      <c r="U185" s="11">
        <v>8431.3809519999995</v>
      </c>
    </row>
    <row r="186" spans="1:21" x14ac:dyDescent="0.25">
      <c r="A186" s="8">
        <v>185</v>
      </c>
      <c r="B186" s="8">
        <v>20.034300000000002</v>
      </c>
      <c r="C186" s="8">
        <v>85.080100000000002</v>
      </c>
      <c r="D186" s="8" t="s">
        <v>7</v>
      </c>
      <c r="E186" s="8" t="s">
        <v>93</v>
      </c>
      <c r="F186" s="21">
        <v>3</v>
      </c>
      <c r="G186" s="8">
        <v>579.6</v>
      </c>
      <c r="H186" s="11" t="s">
        <v>54</v>
      </c>
      <c r="I186" s="11">
        <v>2.75</v>
      </c>
      <c r="J186" s="11">
        <v>1380.0276000000001</v>
      </c>
      <c r="K186" s="11">
        <v>1281.26376</v>
      </c>
      <c r="L186" s="11">
        <v>1166.50296</v>
      </c>
      <c r="M186" s="11">
        <v>1047.7429200000001</v>
      </c>
      <c r="N186" s="11">
        <v>908.98668000000009</v>
      </c>
      <c r="O186" s="11">
        <v>908.98668000000009</v>
      </c>
      <c r="P186" s="11">
        <v>1593.9</v>
      </c>
      <c r="Q186" s="11">
        <v>1593.9</v>
      </c>
      <c r="R186" s="11">
        <v>1593.9</v>
      </c>
      <c r="S186" s="11">
        <v>1593.9</v>
      </c>
      <c r="T186" s="11">
        <v>1519.6532400000001</v>
      </c>
      <c r="U186" s="11">
        <v>1453.75272</v>
      </c>
    </row>
    <row r="187" spans="1:21" x14ac:dyDescent="0.25">
      <c r="A187" s="8">
        <v>186</v>
      </c>
      <c r="B187" s="8">
        <v>20.031400000000001</v>
      </c>
      <c r="C187" s="8">
        <v>85.0899</v>
      </c>
      <c r="D187" s="8" t="s">
        <v>7</v>
      </c>
      <c r="E187" s="8" t="s">
        <v>93</v>
      </c>
      <c r="F187" s="21">
        <v>2.5</v>
      </c>
      <c r="G187" s="8">
        <v>3524.36</v>
      </c>
      <c r="H187" s="11" t="s">
        <v>54</v>
      </c>
      <c r="I187" s="11">
        <v>2.25</v>
      </c>
      <c r="J187" s="11">
        <v>6629.3211600000004</v>
      </c>
      <c r="K187" s="11">
        <v>6028.7702159999999</v>
      </c>
      <c r="L187" s="11">
        <v>5330.9469360000003</v>
      </c>
      <c r="M187" s="11">
        <v>4608.8055720000002</v>
      </c>
      <c r="N187" s="11">
        <v>3765.0737880000001</v>
      </c>
      <c r="O187" s="11">
        <v>3765.0737880000001</v>
      </c>
      <c r="P187" s="11">
        <v>7929.81</v>
      </c>
      <c r="Q187" s="11">
        <v>7929.81</v>
      </c>
      <c r="R187" s="11">
        <v>7929.81</v>
      </c>
      <c r="S187" s="11">
        <v>7929.81</v>
      </c>
      <c r="T187" s="11">
        <v>7478.339484000001</v>
      </c>
      <c r="U187" s="11">
        <v>7077.6197520000005</v>
      </c>
    </row>
    <row r="188" spans="1:21" x14ac:dyDescent="0.25">
      <c r="A188" s="8">
        <v>187</v>
      </c>
      <c r="B188" s="8">
        <v>20.037800000000001</v>
      </c>
      <c r="C188" s="8">
        <v>85.0959</v>
      </c>
      <c r="D188" s="8" t="s">
        <v>7</v>
      </c>
      <c r="E188" s="8" t="s">
        <v>93</v>
      </c>
      <c r="F188" s="21">
        <v>3</v>
      </c>
      <c r="G188" s="8">
        <v>5897.8</v>
      </c>
      <c r="H188" s="11" t="s">
        <v>54</v>
      </c>
      <c r="I188" s="11">
        <v>2.75</v>
      </c>
      <c r="J188" s="11">
        <v>14042.661800000002</v>
      </c>
      <c r="K188" s="11">
        <v>13037.67668</v>
      </c>
      <c r="L188" s="11">
        <v>11869.91228</v>
      </c>
      <c r="M188" s="11">
        <v>10661.453060000002</v>
      </c>
      <c r="N188" s="11">
        <v>9249.5197399999997</v>
      </c>
      <c r="O188" s="11">
        <v>9249.5197399999997</v>
      </c>
      <c r="P188" s="11">
        <v>16218.95</v>
      </c>
      <c r="Q188" s="11">
        <v>16218.95</v>
      </c>
      <c r="R188" s="11">
        <v>16218.95</v>
      </c>
      <c r="S188" s="11">
        <v>16218.95</v>
      </c>
      <c r="T188" s="11">
        <v>15463.441820000002</v>
      </c>
      <c r="U188" s="11">
        <v>14792.86196</v>
      </c>
    </row>
    <row r="189" spans="1:21" x14ac:dyDescent="0.25">
      <c r="A189" s="8">
        <v>188</v>
      </c>
      <c r="B189" s="8">
        <v>20.040400000000002</v>
      </c>
      <c r="C189" s="8">
        <v>85.092699999999994</v>
      </c>
      <c r="D189" s="8" t="s">
        <v>7</v>
      </c>
      <c r="E189" s="8" t="s">
        <v>93</v>
      </c>
      <c r="F189" s="21">
        <v>3</v>
      </c>
      <c r="G189" s="8">
        <v>8346.19</v>
      </c>
      <c r="H189" s="11" t="s">
        <v>54</v>
      </c>
      <c r="I189" s="11">
        <v>2.75</v>
      </c>
      <c r="J189" s="11">
        <v>19872.278390000003</v>
      </c>
      <c r="K189" s="11">
        <v>18450.087614</v>
      </c>
      <c r="L189" s="11">
        <v>16797.541993999999</v>
      </c>
      <c r="M189" s="11">
        <v>15087.407663000002</v>
      </c>
      <c r="N189" s="11">
        <v>13089.329777000001</v>
      </c>
      <c r="O189" s="11">
        <v>13089.329777000001</v>
      </c>
      <c r="P189" s="11">
        <v>22952.022500000003</v>
      </c>
      <c r="Q189" s="11">
        <v>22952.022500000003</v>
      </c>
      <c r="R189" s="11">
        <v>22952.022500000003</v>
      </c>
      <c r="S189" s="11">
        <v>22952.022500000003</v>
      </c>
      <c r="T189" s="11">
        <v>21882.875561000001</v>
      </c>
      <c r="U189" s="11">
        <v>20933.913758000002</v>
      </c>
    </row>
    <row r="190" spans="1:21" x14ac:dyDescent="0.25">
      <c r="A190" s="8">
        <v>189</v>
      </c>
      <c r="B190" s="8">
        <v>20.040099999999999</v>
      </c>
      <c r="C190" s="8">
        <v>85.104600000000005</v>
      </c>
      <c r="D190" s="8" t="s">
        <v>7</v>
      </c>
      <c r="E190" s="8" t="s">
        <v>93</v>
      </c>
      <c r="F190" s="21">
        <v>4</v>
      </c>
      <c r="G190" s="8">
        <v>1509.78</v>
      </c>
      <c r="H190" s="11" t="s">
        <v>54</v>
      </c>
      <c r="I190" s="11">
        <v>3.75</v>
      </c>
      <c r="J190" s="11">
        <v>5104.5661799999998</v>
      </c>
      <c r="K190" s="11">
        <v>4847.2996679999997</v>
      </c>
      <c r="L190" s="11">
        <v>4548.3632280000002</v>
      </c>
      <c r="M190" s="11">
        <v>4239.0093059999999</v>
      </c>
      <c r="N190" s="11">
        <v>3877.5679739999996</v>
      </c>
      <c r="O190" s="11">
        <v>3877.5679739999996</v>
      </c>
      <c r="P190" s="11">
        <v>5661.6750000000002</v>
      </c>
      <c r="Q190" s="11">
        <v>5661.6750000000002</v>
      </c>
      <c r="R190" s="11">
        <v>5661.6750000000002</v>
      </c>
      <c r="S190" s="11">
        <v>5661.6750000000002</v>
      </c>
      <c r="T190" s="11">
        <v>5468.2721819999997</v>
      </c>
      <c r="U190" s="11">
        <v>5296.6101959999996</v>
      </c>
    </row>
    <row r="191" spans="1:21" x14ac:dyDescent="0.25">
      <c r="A191" s="8">
        <v>190</v>
      </c>
      <c r="B191" s="8">
        <v>20.042400000000001</v>
      </c>
      <c r="C191" s="8">
        <v>85.105000000000004</v>
      </c>
      <c r="D191" s="8" t="s">
        <v>7</v>
      </c>
      <c r="E191" s="8" t="s">
        <v>93</v>
      </c>
      <c r="F191" s="21">
        <v>3</v>
      </c>
      <c r="G191" s="8">
        <v>653.04999999999995</v>
      </c>
      <c r="H191" s="11" t="s">
        <v>54</v>
      </c>
      <c r="I191" s="11">
        <v>2.75</v>
      </c>
      <c r="J191" s="11">
        <v>1554.9120500000001</v>
      </c>
      <c r="K191" s="11">
        <v>1443.6323299999999</v>
      </c>
      <c r="L191" s="11">
        <v>1314.3284299999998</v>
      </c>
      <c r="M191" s="11">
        <v>1180.5184850000001</v>
      </c>
      <c r="N191" s="11">
        <v>1024.1783149999999</v>
      </c>
      <c r="O191" s="11">
        <v>1024.1783149999999</v>
      </c>
      <c r="P191" s="11">
        <v>1795.8874999999998</v>
      </c>
      <c r="Q191" s="11">
        <v>1795.8874999999998</v>
      </c>
      <c r="R191" s="11">
        <v>1795.8874999999998</v>
      </c>
      <c r="S191" s="11">
        <v>1795.8874999999998</v>
      </c>
      <c r="T191" s="11">
        <v>1712.2317949999999</v>
      </c>
      <c r="U191" s="11">
        <v>1637.9800099999998</v>
      </c>
    </row>
    <row r="192" spans="1:21" x14ac:dyDescent="0.25">
      <c r="A192" s="8">
        <v>191</v>
      </c>
      <c r="B192" s="8">
        <v>20.0444</v>
      </c>
      <c r="C192" s="8">
        <v>85.105199999999996</v>
      </c>
      <c r="D192" s="8" t="s">
        <v>7</v>
      </c>
      <c r="E192" s="8" t="s">
        <v>93</v>
      </c>
      <c r="F192" s="21">
        <v>3</v>
      </c>
      <c r="G192" s="8">
        <v>4701.7299999999996</v>
      </c>
      <c r="H192" s="11" t="s">
        <v>54</v>
      </c>
      <c r="I192" s="11">
        <v>2.75</v>
      </c>
      <c r="J192" s="11">
        <v>11194.81913</v>
      </c>
      <c r="K192" s="11">
        <v>10393.644337999998</v>
      </c>
      <c r="L192" s="11">
        <v>9462.7017979999982</v>
      </c>
      <c r="M192" s="11">
        <v>8499.3173210000004</v>
      </c>
      <c r="N192" s="11">
        <v>7373.7231589999992</v>
      </c>
      <c r="O192" s="11">
        <v>7373.7231589999992</v>
      </c>
      <c r="P192" s="11">
        <v>12929.7575</v>
      </c>
      <c r="Q192" s="11">
        <v>12929.7575</v>
      </c>
      <c r="R192" s="11">
        <v>12929.7575</v>
      </c>
      <c r="S192" s="11">
        <v>12929.7575</v>
      </c>
      <c r="T192" s="11">
        <v>12327.465887</v>
      </c>
      <c r="U192" s="11">
        <v>11792.879185999998</v>
      </c>
    </row>
    <row r="193" spans="1:21" x14ac:dyDescent="0.25">
      <c r="A193" s="8">
        <v>192</v>
      </c>
      <c r="B193" s="8">
        <v>20.043099999999999</v>
      </c>
      <c r="C193" s="8">
        <v>85.113100000000003</v>
      </c>
      <c r="D193" s="8" t="s">
        <v>7</v>
      </c>
      <c r="E193" s="8" t="s">
        <v>93</v>
      </c>
      <c r="F193" s="21">
        <v>3</v>
      </c>
      <c r="G193" s="8">
        <v>452.36</v>
      </c>
      <c r="H193" s="11" t="s">
        <v>61</v>
      </c>
      <c r="I193" s="11">
        <v>2.75</v>
      </c>
      <c r="J193" s="11">
        <v>1077.0691600000002</v>
      </c>
      <c r="K193" s="11">
        <v>999.98701600000004</v>
      </c>
      <c r="L193" s="11">
        <v>910.41973600000006</v>
      </c>
      <c r="M193" s="11">
        <v>817.73117200000002</v>
      </c>
      <c r="N193" s="11">
        <v>709.43618800000002</v>
      </c>
      <c r="O193" s="11">
        <v>709.43618800000002</v>
      </c>
      <c r="P193" s="11">
        <v>1243.99</v>
      </c>
      <c r="Q193" s="11">
        <v>1243.99</v>
      </c>
      <c r="R193" s="11">
        <v>1243.99</v>
      </c>
      <c r="S193" s="11">
        <v>1243.99</v>
      </c>
      <c r="T193" s="11">
        <v>1186.042684</v>
      </c>
      <c r="U193" s="11">
        <v>1134.6093519999999</v>
      </c>
    </row>
    <row r="194" spans="1:21" x14ac:dyDescent="0.25">
      <c r="A194" s="8">
        <v>193</v>
      </c>
      <c r="B194" s="8">
        <v>20.044</v>
      </c>
      <c r="C194" s="8">
        <v>85.114699999999999</v>
      </c>
      <c r="D194" s="8" t="s">
        <v>7</v>
      </c>
      <c r="E194" s="8" t="s">
        <v>93</v>
      </c>
      <c r="F194" s="21">
        <v>4</v>
      </c>
      <c r="G194" s="8">
        <v>16326.19</v>
      </c>
      <c r="H194" s="11" t="s">
        <v>61</v>
      </c>
      <c r="I194" s="11">
        <v>3.75</v>
      </c>
      <c r="J194" s="11">
        <v>55198.848390000006</v>
      </c>
      <c r="K194" s="11">
        <v>52416.865614000002</v>
      </c>
      <c r="L194" s="11">
        <v>49184.279994000004</v>
      </c>
      <c r="M194" s="11">
        <v>45839.043663000004</v>
      </c>
      <c r="N194" s="11">
        <v>41930.553777000001</v>
      </c>
      <c r="O194" s="11">
        <v>41930.553777000001</v>
      </c>
      <c r="P194" s="11">
        <v>61223.212500000001</v>
      </c>
      <c r="Q194" s="11">
        <v>61223.212500000001</v>
      </c>
      <c r="R194" s="11">
        <v>61223.212500000001</v>
      </c>
      <c r="S194" s="11">
        <v>61223.212500000001</v>
      </c>
      <c r="T194" s="11">
        <v>59131.827561000006</v>
      </c>
      <c r="U194" s="11">
        <v>57275.539757999999</v>
      </c>
    </row>
    <row r="195" spans="1:21" x14ac:dyDescent="0.25">
      <c r="A195" s="8">
        <v>194</v>
      </c>
      <c r="B195" s="8">
        <v>20.041699999999999</v>
      </c>
      <c r="C195" s="8">
        <v>85.112399999999994</v>
      </c>
      <c r="D195" s="8" t="s">
        <v>7</v>
      </c>
      <c r="E195" s="8" t="s">
        <v>93</v>
      </c>
      <c r="F195" s="21">
        <v>4</v>
      </c>
      <c r="G195" s="8">
        <v>7100.49</v>
      </c>
      <c r="H195" s="11" t="s">
        <v>61</v>
      </c>
      <c r="I195" s="11">
        <v>3.75</v>
      </c>
      <c r="J195" s="11">
        <v>24006.756690000002</v>
      </c>
      <c r="K195" s="11">
        <v>22796.833193999999</v>
      </c>
      <c r="L195" s="11">
        <v>21390.936173999999</v>
      </c>
      <c r="M195" s="11">
        <v>19936.045773000002</v>
      </c>
      <c r="N195" s="11">
        <v>18236.188466999996</v>
      </c>
      <c r="O195" s="11">
        <v>18236.188466999996</v>
      </c>
      <c r="P195" s="11">
        <v>26626.837499999998</v>
      </c>
      <c r="Q195" s="11">
        <v>26626.837499999998</v>
      </c>
      <c r="R195" s="11">
        <v>26626.837499999998</v>
      </c>
      <c r="S195" s="11">
        <v>26626.837499999998</v>
      </c>
      <c r="T195" s="11">
        <v>25717.264730999999</v>
      </c>
      <c r="U195" s="11">
        <v>24909.939018000001</v>
      </c>
    </row>
    <row r="196" spans="1:21" x14ac:dyDescent="0.25">
      <c r="A196" s="8">
        <v>195</v>
      </c>
      <c r="B196" s="8">
        <v>20.041</v>
      </c>
      <c r="C196" s="8">
        <v>85.113500000000002</v>
      </c>
      <c r="D196" s="8" t="s">
        <v>7</v>
      </c>
      <c r="E196" s="8" t="s">
        <v>93</v>
      </c>
      <c r="F196" s="21">
        <v>2</v>
      </c>
      <c r="G196" s="8">
        <v>333.29</v>
      </c>
      <c r="H196" s="11" t="s">
        <v>61</v>
      </c>
      <c r="I196" s="11">
        <v>1.75</v>
      </c>
      <c r="J196" s="11">
        <v>460.27349000000004</v>
      </c>
      <c r="K196" s="11">
        <v>403.48087399999997</v>
      </c>
      <c r="L196" s="11">
        <v>337.48945400000002</v>
      </c>
      <c r="M196" s="11">
        <v>269.19833299999999</v>
      </c>
      <c r="N196" s="11">
        <v>189.40870700000002</v>
      </c>
      <c r="O196" s="11">
        <v>189.40870700000002</v>
      </c>
      <c r="P196" s="11">
        <v>583.25750000000005</v>
      </c>
      <c r="Q196" s="11">
        <v>583.25750000000005</v>
      </c>
      <c r="R196" s="11">
        <v>583.25750000000005</v>
      </c>
      <c r="S196" s="11">
        <v>583.25750000000005</v>
      </c>
      <c r="T196" s="11">
        <v>540.56305100000009</v>
      </c>
      <c r="U196" s="11">
        <v>502.66797800000001</v>
      </c>
    </row>
    <row r="197" spans="1:21" x14ac:dyDescent="0.25">
      <c r="A197" s="8">
        <v>196</v>
      </c>
      <c r="B197" s="8">
        <v>20.040900000000001</v>
      </c>
      <c r="C197" s="8">
        <v>85.115399999999994</v>
      </c>
      <c r="D197" s="8" t="s">
        <v>7</v>
      </c>
      <c r="E197" s="8" t="s">
        <v>93</v>
      </c>
      <c r="F197" s="21">
        <v>2</v>
      </c>
      <c r="G197" s="8">
        <v>372.39</v>
      </c>
      <c r="H197" s="11" t="s">
        <v>61</v>
      </c>
      <c r="I197" s="11">
        <v>1.75</v>
      </c>
      <c r="J197" s="11">
        <v>514.27058999999997</v>
      </c>
      <c r="K197" s="11">
        <v>450.81533399999995</v>
      </c>
      <c r="L197" s="11">
        <v>377.08211399999999</v>
      </c>
      <c r="M197" s="11">
        <v>300.779403</v>
      </c>
      <c r="N197" s="11">
        <v>211.62923699999999</v>
      </c>
      <c r="O197" s="11">
        <v>211.62923699999999</v>
      </c>
      <c r="P197" s="11">
        <v>651.6825</v>
      </c>
      <c r="Q197" s="11">
        <v>651.6825</v>
      </c>
      <c r="R197" s="11">
        <v>651.6825</v>
      </c>
      <c r="S197" s="11">
        <v>651.6825</v>
      </c>
      <c r="T197" s="11">
        <v>603.97934099999998</v>
      </c>
      <c r="U197" s="11">
        <v>561.638598</v>
      </c>
    </row>
    <row r="198" spans="1:21" x14ac:dyDescent="0.25">
      <c r="A198" s="8">
        <v>197</v>
      </c>
      <c r="B198" s="8">
        <v>20.0396</v>
      </c>
      <c r="C198" s="8">
        <v>85.115600000000001</v>
      </c>
      <c r="D198" s="8" t="s">
        <v>7</v>
      </c>
      <c r="E198" s="8" t="s">
        <v>93</v>
      </c>
      <c r="F198" s="21">
        <v>2</v>
      </c>
      <c r="G198" s="8">
        <v>426.42</v>
      </c>
      <c r="H198" s="11" t="s">
        <v>61</v>
      </c>
      <c r="I198" s="11">
        <v>1.75</v>
      </c>
      <c r="J198" s="11">
        <v>588.88602000000003</v>
      </c>
      <c r="K198" s="11">
        <v>516.22405200000003</v>
      </c>
      <c r="L198" s="11">
        <v>431.79289199999999</v>
      </c>
      <c r="M198" s="11">
        <v>344.41943400000002</v>
      </c>
      <c r="N198" s="11">
        <v>242.33448600000003</v>
      </c>
      <c r="O198" s="11">
        <v>242.33448600000003</v>
      </c>
      <c r="P198" s="11">
        <v>746.23500000000001</v>
      </c>
      <c r="Q198" s="11">
        <v>746.23500000000001</v>
      </c>
      <c r="R198" s="11">
        <v>746.23500000000001</v>
      </c>
      <c r="S198" s="11">
        <v>746.23500000000001</v>
      </c>
      <c r="T198" s="11">
        <v>691.6105980000001</v>
      </c>
      <c r="U198" s="11">
        <v>643.12664400000006</v>
      </c>
    </row>
    <row r="199" spans="1:21" x14ac:dyDescent="0.25">
      <c r="A199" s="8">
        <v>198</v>
      </c>
      <c r="B199" s="8">
        <v>20.040700000000001</v>
      </c>
      <c r="C199" s="8">
        <v>85.118499999999997</v>
      </c>
      <c r="D199" s="8" t="s">
        <v>7</v>
      </c>
      <c r="E199" s="8" t="s">
        <v>93</v>
      </c>
      <c r="F199" s="21">
        <v>2</v>
      </c>
      <c r="G199" s="8">
        <v>305.23</v>
      </c>
      <c r="H199" s="11" t="s">
        <v>61</v>
      </c>
      <c r="I199" s="11">
        <v>1.75</v>
      </c>
      <c r="J199" s="11">
        <v>421.52263000000005</v>
      </c>
      <c r="K199" s="11">
        <v>369.511438</v>
      </c>
      <c r="L199" s="11">
        <v>309.075898</v>
      </c>
      <c r="M199" s="11">
        <v>246.53427100000002</v>
      </c>
      <c r="N199" s="11">
        <v>173.46220900000003</v>
      </c>
      <c r="O199" s="11">
        <v>173.46220900000003</v>
      </c>
      <c r="P199" s="11">
        <v>534.15250000000003</v>
      </c>
      <c r="Q199" s="11">
        <v>534.15250000000003</v>
      </c>
      <c r="R199" s="11">
        <v>534.15250000000003</v>
      </c>
      <c r="S199" s="11">
        <v>534.15250000000003</v>
      </c>
      <c r="T199" s="11">
        <v>495.05253700000009</v>
      </c>
      <c r="U199" s="11">
        <v>460.34788600000002</v>
      </c>
    </row>
    <row r="200" spans="1:21" x14ac:dyDescent="0.25">
      <c r="A200" s="8">
        <v>199</v>
      </c>
      <c r="B200" s="8">
        <v>20.042999999999999</v>
      </c>
      <c r="C200" s="8">
        <v>85.121399999999994</v>
      </c>
      <c r="D200" s="8" t="s">
        <v>7</v>
      </c>
      <c r="E200" s="8" t="s">
        <v>93</v>
      </c>
      <c r="F200" s="21">
        <v>2</v>
      </c>
      <c r="G200" s="8">
        <v>748.34</v>
      </c>
      <c r="H200" s="11" t="s">
        <v>61</v>
      </c>
      <c r="I200" s="11">
        <v>1.75</v>
      </c>
      <c r="J200" s="11">
        <v>1033.4575400000001</v>
      </c>
      <c r="K200" s="11">
        <v>905.94040399999994</v>
      </c>
      <c r="L200" s="11">
        <v>757.76908400000002</v>
      </c>
      <c r="M200" s="11">
        <v>604.43421799999999</v>
      </c>
      <c r="N200" s="11">
        <v>425.28162200000003</v>
      </c>
      <c r="O200" s="11">
        <v>425.28162200000003</v>
      </c>
      <c r="P200" s="11">
        <v>1309.595</v>
      </c>
      <c r="Q200" s="11">
        <v>1309.595</v>
      </c>
      <c r="R200" s="11">
        <v>1309.595</v>
      </c>
      <c r="S200" s="11">
        <v>1309.595</v>
      </c>
      <c r="T200" s="11">
        <v>1213.7326460000002</v>
      </c>
      <c r="U200" s="11">
        <v>1128.6463880000001</v>
      </c>
    </row>
    <row r="201" spans="1:21" x14ac:dyDescent="0.25">
      <c r="A201" s="8">
        <v>200</v>
      </c>
      <c r="B201" s="8">
        <v>20.0398</v>
      </c>
      <c r="C201" s="8">
        <v>85.079099999999997</v>
      </c>
      <c r="D201" s="8" t="s">
        <v>7</v>
      </c>
      <c r="E201" s="8" t="s">
        <v>93</v>
      </c>
      <c r="F201" s="21">
        <v>4</v>
      </c>
      <c r="G201" s="8">
        <v>11860.6</v>
      </c>
      <c r="H201" s="11" t="s">
        <v>53</v>
      </c>
      <c r="I201" s="11">
        <v>3.75</v>
      </c>
      <c r="J201" s="11">
        <v>40100.688600000001</v>
      </c>
      <c r="K201" s="11">
        <v>38079.642359999998</v>
      </c>
      <c r="L201" s="11">
        <v>35731.243560000003</v>
      </c>
      <c r="M201" s="11">
        <v>33301.00662</v>
      </c>
      <c r="N201" s="11">
        <v>30461.578979999998</v>
      </c>
      <c r="O201" s="11">
        <v>30461.578979999998</v>
      </c>
      <c r="P201" s="11">
        <v>44477.25</v>
      </c>
      <c r="Q201" s="11">
        <v>44477.25</v>
      </c>
      <c r="R201" s="11">
        <v>44477.25</v>
      </c>
      <c r="S201" s="11">
        <v>44477.25</v>
      </c>
      <c r="T201" s="11">
        <v>42957.907140000003</v>
      </c>
      <c r="U201" s="11">
        <v>41609.356919999998</v>
      </c>
    </row>
    <row r="202" spans="1:21" x14ac:dyDescent="0.25">
      <c r="A202" s="8">
        <v>201</v>
      </c>
      <c r="B202" s="8">
        <v>20.041899999999998</v>
      </c>
      <c r="C202" s="8">
        <v>85.081199999999995</v>
      </c>
      <c r="D202" s="8" t="s">
        <v>7</v>
      </c>
      <c r="E202" s="8" t="s">
        <v>93</v>
      </c>
      <c r="F202" s="21">
        <v>4</v>
      </c>
      <c r="G202" s="8">
        <v>2788.34</v>
      </c>
      <c r="H202" s="11" t="s">
        <v>53</v>
      </c>
      <c r="I202" s="11">
        <v>3.75</v>
      </c>
      <c r="J202" s="11">
        <v>9427.3775400000013</v>
      </c>
      <c r="K202" s="11">
        <v>8952.2444040000009</v>
      </c>
      <c r="L202" s="11">
        <v>8400.1530839999996</v>
      </c>
      <c r="M202" s="11">
        <v>7828.8222180000002</v>
      </c>
      <c r="N202" s="11">
        <v>7161.2936220000001</v>
      </c>
      <c r="O202" s="11">
        <v>7161.2936220000001</v>
      </c>
      <c r="P202" s="11">
        <v>10456.275000000001</v>
      </c>
      <c r="Q202" s="11">
        <v>10456.275000000001</v>
      </c>
      <c r="R202" s="11">
        <v>10456.275000000001</v>
      </c>
      <c r="S202" s="11">
        <v>10456.275000000001</v>
      </c>
      <c r="T202" s="11">
        <v>10099.088646</v>
      </c>
      <c r="U202" s="11">
        <v>9782.0543880000005</v>
      </c>
    </row>
    <row r="203" spans="1:21" x14ac:dyDescent="0.25">
      <c r="A203" s="8">
        <v>202</v>
      </c>
      <c r="B203" s="8">
        <v>20.040099999999999</v>
      </c>
      <c r="C203" s="8">
        <v>85.084400000000002</v>
      </c>
      <c r="D203" s="8" t="s">
        <v>7</v>
      </c>
      <c r="E203" s="8" t="s">
        <v>93</v>
      </c>
      <c r="F203" s="21">
        <v>4</v>
      </c>
      <c r="G203" s="8">
        <v>4364.3599999999997</v>
      </c>
      <c r="H203" s="11" t="s">
        <v>53</v>
      </c>
      <c r="I203" s="11">
        <v>3.75</v>
      </c>
      <c r="J203" s="11">
        <v>14755.901159999999</v>
      </c>
      <c r="K203" s="11">
        <v>14012.214215999998</v>
      </c>
      <c r="L203" s="11">
        <v>13148.070935999998</v>
      </c>
      <c r="M203" s="11">
        <v>12253.813571999999</v>
      </c>
      <c r="N203" s="11">
        <v>11208.985787999998</v>
      </c>
      <c r="O203" s="11">
        <v>11208.985787999998</v>
      </c>
      <c r="P203" s="11">
        <v>16366.349999999999</v>
      </c>
      <c r="Q203" s="11">
        <v>16366.349999999999</v>
      </c>
      <c r="R203" s="11">
        <v>16366.349999999999</v>
      </c>
      <c r="S203" s="11">
        <v>16366.349999999999</v>
      </c>
      <c r="T203" s="11">
        <v>15807.275484</v>
      </c>
      <c r="U203" s="11">
        <v>15311.047751999999</v>
      </c>
    </row>
    <row r="204" spans="1:21" x14ac:dyDescent="0.25">
      <c r="A204" s="8">
        <v>203</v>
      </c>
      <c r="B204" s="8">
        <v>20.052099999999999</v>
      </c>
      <c r="C204" s="8">
        <v>85.076700000000002</v>
      </c>
      <c r="D204" s="8" t="s">
        <v>7</v>
      </c>
      <c r="E204" s="8" t="s">
        <v>93</v>
      </c>
      <c r="F204" s="21">
        <v>2.5</v>
      </c>
      <c r="G204" s="8">
        <v>3751.28</v>
      </c>
      <c r="H204" s="11" t="s">
        <v>53</v>
      </c>
      <c r="I204" s="11">
        <v>2.25</v>
      </c>
      <c r="J204" s="11">
        <v>7056.1576800000003</v>
      </c>
      <c r="K204" s="11">
        <v>6416.9395679999998</v>
      </c>
      <c r="L204" s="11">
        <v>5674.1861280000003</v>
      </c>
      <c r="M204" s="11">
        <v>4905.5488560000003</v>
      </c>
      <c r="N204" s="11">
        <v>4007.4924240000005</v>
      </c>
      <c r="O204" s="11">
        <v>4007.4924240000005</v>
      </c>
      <c r="P204" s="11">
        <v>8440.380000000001</v>
      </c>
      <c r="Q204" s="11">
        <v>8440.380000000001</v>
      </c>
      <c r="R204" s="11">
        <v>8440.380000000001</v>
      </c>
      <c r="S204" s="11">
        <v>8440.380000000001</v>
      </c>
      <c r="T204" s="11">
        <v>7959.8410320000012</v>
      </c>
      <c r="U204" s="11">
        <v>7533.3204960000003</v>
      </c>
    </row>
    <row r="205" spans="1:21" x14ac:dyDescent="0.25">
      <c r="A205" s="8">
        <v>204</v>
      </c>
      <c r="B205" s="8">
        <v>20.055499999999999</v>
      </c>
      <c r="C205" s="8">
        <v>85.077100000000002</v>
      </c>
      <c r="D205" s="8" t="s">
        <v>7</v>
      </c>
      <c r="E205" s="8" t="s">
        <v>93</v>
      </c>
      <c r="F205" s="21">
        <v>3</v>
      </c>
      <c r="G205" s="8">
        <v>10704.14</v>
      </c>
      <c r="H205" s="11" t="s">
        <v>53</v>
      </c>
      <c r="I205" s="11">
        <v>2.75</v>
      </c>
      <c r="J205" s="11">
        <v>25486.557339999999</v>
      </c>
      <c r="K205" s="11">
        <v>23662.571883999997</v>
      </c>
      <c r="L205" s="11">
        <v>21543.152163999999</v>
      </c>
      <c r="M205" s="11">
        <v>19349.873877999999</v>
      </c>
      <c r="N205" s="11">
        <v>16787.302761999999</v>
      </c>
      <c r="O205" s="11">
        <v>16787.302761999999</v>
      </c>
      <c r="P205" s="11">
        <v>29436.384999999998</v>
      </c>
      <c r="Q205" s="11">
        <v>29436.384999999998</v>
      </c>
      <c r="R205" s="11">
        <v>29436.384999999998</v>
      </c>
      <c r="S205" s="11">
        <v>29436.384999999998</v>
      </c>
      <c r="T205" s="11">
        <v>28065.184666000001</v>
      </c>
      <c r="U205" s="11">
        <v>26848.123947999997</v>
      </c>
    </row>
    <row r="206" spans="1:21" x14ac:dyDescent="0.25">
      <c r="A206" s="8">
        <v>205</v>
      </c>
      <c r="B206" s="8">
        <v>20.053899999999999</v>
      </c>
      <c r="C206" s="8">
        <v>85.077100000000002</v>
      </c>
      <c r="D206" s="8" t="s">
        <v>7</v>
      </c>
      <c r="E206" s="8" t="s">
        <v>93</v>
      </c>
      <c r="F206" s="21">
        <v>2</v>
      </c>
      <c r="G206" s="8">
        <v>976.67</v>
      </c>
      <c r="H206" s="11" t="s">
        <v>53</v>
      </c>
      <c r="I206" s="11">
        <v>1.75</v>
      </c>
      <c r="J206" s="11">
        <v>1348.7812699999999</v>
      </c>
      <c r="K206" s="11">
        <v>1182.3567019999998</v>
      </c>
      <c r="L206" s="11">
        <v>988.97604199999989</v>
      </c>
      <c r="M206" s="11">
        <v>788.856359</v>
      </c>
      <c r="N206" s="11">
        <v>555.041561</v>
      </c>
      <c r="O206" s="11">
        <v>555.041561</v>
      </c>
      <c r="P206" s="11">
        <v>1709.1724999999999</v>
      </c>
      <c r="Q206" s="11">
        <v>1709.1724999999999</v>
      </c>
      <c r="R206" s="11">
        <v>1709.1724999999999</v>
      </c>
      <c r="S206" s="11">
        <v>1709.1724999999999</v>
      </c>
      <c r="T206" s="11">
        <v>1584.0610730000001</v>
      </c>
      <c r="U206" s="11">
        <v>1473.013694</v>
      </c>
    </row>
    <row r="207" spans="1:21" x14ac:dyDescent="0.25">
      <c r="A207" s="8">
        <v>206</v>
      </c>
      <c r="B207" s="8">
        <v>20.0534</v>
      </c>
      <c r="C207" s="8">
        <v>85.076400000000007</v>
      </c>
      <c r="D207" s="8" t="s">
        <v>7</v>
      </c>
      <c r="E207" s="8" t="s">
        <v>93</v>
      </c>
      <c r="F207" s="21">
        <v>2</v>
      </c>
      <c r="G207" s="8">
        <v>647.61</v>
      </c>
      <c r="H207" s="11" t="s">
        <v>53</v>
      </c>
      <c r="I207" s="11">
        <v>1.75</v>
      </c>
      <c r="J207" s="11">
        <v>894.34941000000003</v>
      </c>
      <c r="K207" s="11">
        <v>783.996666</v>
      </c>
      <c r="L207" s="11">
        <v>655.76988599999993</v>
      </c>
      <c r="M207" s="11">
        <v>523.07459700000004</v>
      </c>
      <c r="N207" s="11">
        <v>368.03676300000001</v>
      </c>
      <c r="O207" s="11">
        <v>368.03676300000001</v>
      </c>
      <c r="P207" s="11">
        <v>1133.3175000000001</v>
      </c>
      <c r="Q207" s="11">
        <v>1133.3175000000001</v>
      </c>
      <c r="R207" s="11">
        <v>1133.3175000000001</v>
      </c>
      <c r="S207" s="11">
        <v>1133.3175000000001</v>
      </c>
      <c r="T207" s="11">
        <v>1050.358659</v>
      </c>
      <c r="U207" s="11">
        <v>976.72540200000003</v>
      </c>
    </row>
    <row r="208" spans="1:21" x14ac:dyDescent="0.25">
      <c r="A208" s="8">
        <v>207</v>
      </c>
      <c r="B208" s="8">
        <v>20.0578</v>
      </c>
      <c r="C208" s="8">
        <v>85.084299999999999</v>
      </c>
      <c r="D208" s="8" t="s">
        <v>7</v>
      </c>
      <c r="E208" s="8" t="s">
        <v>93</v>
      </c>
      <c r="F208" s="21">
        <v>3</v>
      </c>
      <c r="G208" s="8">
        <v>3409.2</v>
      </c>
      <c r="H208" s="11" t="s">
        <v>53</v>
      </c>
      <c r="I208" s="11">
        <v>2.75</v>
      </c>
      <c r="J208" s="11">
        <v>8117.3052000000007</v>
      </c>
      <c r="K208" s="11">
        <v>7536.3775199999991</v>
      </c>
      <c r="L208" s="11">
        <v>6861.3559199999991</v>
      </c>
      <c r="M208" s="11">
        <v>6162.8108400000001</v>
      </c>
      <c r="N208" s="11">
        <v>5346.6483600000001</v>
      </c>
      <c r="O208" s="11">
        <v>5346.6483600000001</v>
      </c>
      <c r="P208" s="11">
        <v>9375.2999999999993</v>
      </c>
      <c r="Q208" s="11">
        <v>9375.2999999999993</v>
      </c>
      <c r="R208" s="11">
        <v>9375.2999999999993</v>
      </c>
      <c r="S208" s="11">
        <v>9375.2999999999993</v>
      </c>
      <c r="T208" s="11">
        <v>8938.5814800000007</v>
      </c>
      <c r="U208" s="11">
        <v>8550.9554399999997</v>
      </c>
    </row>
    <row r="209" spans="1:21" x14ac:dyDescent="0.25">
      <c r="A209" s="8">
        <v>208</v>
      </c>
      <c r="B209" s="8">
        <v>20.061699999999998</v>
      </c>
      <c r="C209" s="8">
        <v>85.087000000000003</v>
      </c>
      <c r="D209" s="8" t="s">
        <v>7</v>
      </c>
      <c r="E209" s="8" t="s">
        <v>93</v>
      </c>
      <c r="F209" s="21">
        <v>3</v>
      </c>
      <c r="G209" s="8">
        <v>10202.459999999999</v>
      </c>
      <c r="H209" s="11" t="s">
        <v>53</v>
      </c>
      <c r="I209" s="11">
        <v>2.75</v>
      </c>
      <c r="J209" s="11">
        <v>24292.057260000001</v>
      </c>
      <c r="K209" s="11">
        <v>22553.558075999998</v>
      </c>
      <c r="L209" s="11">
        <v>20533.470995999996</v>
      </c>
      <c r="M209" s="11">
        <v>18442.986942</v>
      </c>
      <c r="N209" s="11">
        <v>16000.518017999999</v>
      </c>
      <c r="O209" s="11">
        <v>16000.518017999999</v>
      </c>
      <c r="P209" s="11">
        <v>28056.764999999999</v>
      </c>
      <c r="Q209" s="11">
        <v>28056.764999999999</v>
      </c>
      <c r="R209" s="11">
        <v>28056.764999999999</v>
      </c>
      <c r="S209" s="11">
        <v>28056.764999999999</v>
      </c>
      <c r="T209" s="11">
        <v>26749.829873999999</v>
      </c>
      <c r="U209" s="11">
        <v>25589.810171999998</v>
      </c>
    </row>
    <row r="210" spans="1:21" x14ac:dyDescent="0.25">
      <c r="A210" s="8">
        <v>209</v>
      </c>
      <c r="B210" s="8">
        <v>20.0626</v>
      </c>
      <c r="C210" s="8">
        <v>85.088499999999996</v>
      </c>
      <c r="D210" s="8" t="s">
        <v>7</v>
      </c>
      <c r="E210" s="8" t="s">
        <v>93</v>
      </c>
      <c r="F210" s="21">
        <v>3</v>
      </c>
      <c r="G210" s="8">
        <v>11347.36</v>
      </c>
      <c r="H210" s="11" t="s">
        <v>53</v>
      </c>
      <c r="I210" s="11">
        <v>2.75</v>
      </c>
      <c r="J210" s="11">
        <v>27018.064160000005</v>
      </c>
      <c r="K210" s="11">
        <v>25084.474016</v>
      </c>
      <c r="L210" s="11">
        <v>22837.696736000002</v>
      </c>
      <c r="M210" s="11">
        <v>20512.622672000001</v>
      </c>
      <c r="N210" s="11">
        <v>17796.064688000002</v>
      </c>
      <c r="O210" s="11">
        <v>17796.064688000002</v>
      </c>
      <c r="P210" s="11">
        <v>31205.24</v>
      </c>
      <c r="Q210" s="11">
        <v>31205.24</v>
      </c>
      <c r="R210" s="11">
        <v>31205.24</v>
      </c>
      <c r="S210" s="11">
        <v>31205.24</v>
      </c>
      <c r="T210" s="11">
        <v>29751.643184000004</v>
      </c>
      <c r="U210" s="11">
        <v>28461.448352000003</v>
      </c>
    </row>
    <row r="211" spans="1:21" x14ac:dyDescent="0.25">
      <c r="A211" s="8">
        <v>210</v>
      </c>
      <c r="B211" s="8">
        <v>20.0624</v>
      </c>
      <c r="C211" s="8">
        <v>85.090800000000002</v>
      </c>
      <c r="D211" s="8" t="s">
        <v>7</v>
      </c>
      <c r="E211" s="8" t="s">
        <v>93</v>
      </c>
      <c r="F211" s="21">
        <v>3</v>
      </c>
      <c r="G211" s="8">
        <v>3689.03</v>
      </c>
      <c r="H211" s="11" t="s">
        <v>53</v>
      </c>
      <c r="I211" s="11">
        <v>2.75</v>
      </c>
      <c r="J211" s="11">
        <v>8783.5804300000018</v>
      </c>
      <c r="K211" s="11">
        <v>8154.9697180000003</v>
      </c>
      <c r="L211" s="11">
        <v>7424.5417779999998</v>
      </c>
      <c r="M211" s="11">
        <v>6668.6595310000002</v>
      </c>
      <c r="N211" s="11">
        <v>5785.5057490000008</v>
      </c>
      <c r="O211" s="11">
        <v>5785.5057490000008</v>
      </c>
      <c r="P211" s="11">
        <v>10144.8325</v>
      </c>
      <c r="Q211" s="11">
        <v>10144.8325</v>
      </c>
      <c r="R211" s="11">
        <v>10144.8325</v>
      </c>
      <c r="S211" s="11">
        <v>10144.8325</v>
      </c>
      <c r="T211" s="11">
        <v>9672.2677570000014</v>
      </c>
      <c r="U211" s="11">
        <v>9252.8250459999999</v>
      </c>
    </row>
    <row r="212" spans="1:21" x14ac:dyDescent="0.25">
      <c r="A212" s="8">
        <v>211</v>
      </c>
      <c r="B212" s="8">
        <v>20.0639</v>
      </c>
      <c r="C212" s="8">
        <v>85.091700000000003</v>
      </c>
      <c r="D212" s="8" t="s">
        <v>7</v>
      </c>
      <c r="E212" s="8" t="s">
        <v>93</v>
      </c>
      <c r="F212" s="21">
        <v>4</v>
      </c>
      <c r="G212" s="8">
        <v>2733.71</v>
      </c>
      <c r="H212" s="11" t="s">
        <v>53</v>
      </c>
      <c r="I212" s="11">
        <v>3.75</v>
      </c>
      <c r="J212" s="11">
        <v>9242.6735100000005</v>
      </c>
      <c r="K212" s="11">
        <v>8776.8493259999996</v>
      </c>
      <c r="L212" s="11">
        <v>8235.5747460000002</v>
      </c>
      <c r="M212" s="11">
        <v>7675.4375669999999</v>
      </c>
      <c r="N212" s="11">
        <v>7020.9873929999994</v>
      </c>
      <c r="O212" s="11">
        <v>7020.9873929999994</v>
      </c>
      <c r="P212" s="11">
        <v>10251.4125</v>
      </c>
      <c r="Q212" s="11">
        <v>10251.4125</v>
      </c>
      <c r="R212" s="11">
        <v>10251.4125</v>
      </c>
      <c r="S212" s="11">
        <v>10251.4125</v>
      </c>
      <c r="T212" s="11">
        <v>9901.2242490000008</v>
      </c>
      <c r="U212" s="11">
        <v>9590.4014220000008</v>
      </c>
    </row>
    <row r="213" spans="1:21" x14ac:dyDescent="0.25">
      <c r="A213" s="8">
        <v>212</v>
      </c>
      <c r="B213" s="8">
        <v>20.0656</v>
      </c>
      <c r="C213" s="8">
        <v>85.0916</v>
      </c>
      <c r="D213" s="8" t="s">
        <v>7</v>
      </c>
      <c r="E213" s="8" t="s">
        <v>93</v>
      </c>
      <c r="F213" s="21">
        <v>4</v>
      </c>
      <c r="G213" s="8">
        <v>6292.68</v>
      </c>
      <c r="H213" s="11" t="s">
        <v>53</v>
      </c>
      <c r="I213" s="11">
        <v>3.75</v>
      </c>
      <c r="J213" s="11">
        <v>21275.551080000001</v>
      </c>
      <c r="K213" s="11">
        <v>20203.278408000002</v>
      </c>
      <c r="L213" s="11">
        <v>18957.327767999999</v>
      </c>
      <c r="M213" s="11">
        <v>17667.957636000003</v>
      </c>
      <c r="N213" s="11">
        <v>16161.490044</v>
      </c>
      <c r="O213" s="11">
        <v>16161.490044</v>
      </c>
      <c r="P213" s="11">
        <v>23597.550000000003</v>
      </c>
      <c r="Q213" s="11">
        <v>23597.550000000003</v>
      </c>
      <c r="R213" s="11">
        <v>23597.550000000003</v>
      </c>
      <c r="S213" s="11">
        <v>23597.550000000003</v>
      </c>
      <c r="T213" s="11">
        <v>22791.457692000004</v>
      </c>
      <c r="U213" s="11">
        <v>22075.979976000002</v>
      </c>
    </row>
    <row r="214" spans="1:21" x14ac:dyDescent="0.25">
      <c r="A214" s="8">
        <v>213</v>
      </c>
      <c r="B214" s="8">
        <v>20.066600000000001</v>
      </c>
      <c r="C214" s="8">
        <v>85.090999999999994</v>
      </c>
      <c r="D214" s="8" t="s">
        <v>7</v>
      </c>
      <c r="E214" s="8" t="s">
        <v>93</v>
      </c>
      <c r="F214" s="21">
        <v>2</v>
      </c>
      <c r="G214" s="8">
        <v>1139.55</v>
      </c>
      <c r="H214" s="11" t="s">
        <v>53</v>
      </c>
      <c r="I214" s="11">
        <v>1.75</v>
      </c>
      <c r="J214" s="11">
        <v>1573.7185500000001</v>
      </c>
      <c r="K214" s="11">
        <v>1379.5392299999999</v>
      </c>
      <c r="L214" s="11">
        <v>1153.90833</v>
      </c>
      <c r="M214" s="11">
        <v>920.41453499999989</v>
      </c>
      <c r="N214" s="11">
        <v>647.60626500000001</v>
      </c>
      <c r="O214" s="11">
        <v>647.60626500000001</v>
      </c>
      <c r="P214" s="11">
        <v>1994.2124999999999</v>
      </c>
      <c r="Q214" s="11">
        <v>1994.2124999999999</v>
      </c>
      <c r="R214" s="11">
        <v>1994.2124999999999</v>
      </c>
      <c r="S214" s="11">
        <v>1994.2124999999999</v>
      </c>
      <c r="T214" s="11">
        <v>1848.2361450000001</v>
      </c>
      <c r="U214" s="11">
        <v>1718.66931</v>
      </c>
    </row>
    <row r="215" spans="1:21" x14ac:dyDescent="0.25">
      <c r="A215" s="8">
        <v>214</v>
      </c>
      <c r="B215" s="8">
        <v>20.055399999999999</v>
      </c>
      <c r="C215" s="8">
        <v>85.101100000000002</v>
      </c>
      <c r="D215" s="8" t="s">
        <v>7</v>
      </c>
      <c r="E215" s="8" t="s">
        <v>93</v>
      </c>
      <c r="F215" s="21">
        <v>2</v>
      </c>
      <c r="G215" s="8">
        <v>676.09</v>
      </c>
      <c r="H215" s="11" t="s">
        <v>53</v>
      </c>
      <c r="I215" s="11">
        <v>1.75</v>
      </c>
      <c r="J215" s="11">
        <v>933.68029000000001</v>
      </c>
      <c r="K215" s="11">
        <v>818.47455400000001</v>
      </c>
      <c r="L215" s="11">
        <v>684.60873400000003</v>
      </c>
      <c r="M215" s="11">
        <v>546.07789300000002</v>
      </c>
      <c r="N215" s="11">
        <v>384.22194700000006</v>
      </c>
      <c r="O215" s="11">
        <v>384.22194700000006</v>
      </c>
      <c r="P215" s="11">
        <v>1183.1575</v>
      </c>
      <c r="Q215" s="11">
        <v>1183.1575</v>
      </c>
      <c r="R215" s="11">
        <v>1183.1575</v>
      </c>
      <c r="S215" s="11">
        <v>1183.1575</v>
      </c>
      <c r="T215" s="11">
        <v>1096.550371</v>
      </c>
      <c r="U215" s="11">
        <v>1019.678938</v>
      </c>
    </row>
    <row r="216" spans="1:21" x14ac:dyDescent="0.25">
      <c r="A216" s="8">
        <v>215</v>
      </c>
      <c r="B216" s="8">
        <v>20.0532</v>
      </c>
      <c r="C216" s="8">
        <v>85.096400000000003</v>
      </c>
      <c r="D216" s="8" t="s">
        <v>7</v>
      </c>
      <c r="E216" s="8" t="s">
        <v>93</v>
      </c>
      <c r="F216" s="21">
        <v>3</v>
      </c>
      <c r="G216" s="8">
        <v>1629.71</v>
      </c>
      <c r="H216" s="11" t="s">
        <v>53</v>
      </c>
      <c r="I216" s="11">
        <v>2.75</v>
      </c>
      <c r="J216" s="11">
        <v>3880.3395100000002</v>
      </c>
      <c r="K216" s="11">
        <v>3602.6369260000001</v>
      </c>
      <c r="L216" s="11">
        <v>3279.954346</v>
      </c>
      <c r="M216" s="11">
        <v>2946.0267670000003</v>
      </c>
      <c r="N216" s="11">
        <v>2555.8741930000001</v>
      </c>
      <c r="O216" s="11">
        <v>2555.8741930000001</v>
      </c>
      <c r="P216" s="11">
        <v>4481.7025000000003</v>
      </c>
      <c r="Q216" s="11">
        <v>4481.7025000000003</v>
      </c>
      <c r="R216" s="11">
        <v>4481.7025000000003</v>
      </c>
      <c r="S216" s="11">
        <v>4481.7025000000003</v>
      </c>
      <c r="T216" s="11">
        <v>4272.9366490000002</v>
      </c>
      <c r="U216" s="11">
        <v>4087.6386219999999</v>
      </c>
    </row>
    <row r="217" spans="1:21" x14ac:dyDescent="0.25">
      <c r="A217" s="8">
        <v>216</v>
      </c>
      <c r="B217" s="8">
        <v>20.049199999999999</v>
      </c>
      <c r="C217" s="8">
        <v>85.095500000000001</v>
      </c>
      <c r="D217" s="8" t="s">
        <v>7</v>
      </c>
      <c r="E217" s="8" t="s">
        <v>93</v>
      </c>
      <c r="F217" s="21">
        <v>3</v>
      </c>
      <c r="G217" s="8">
        <v>1447.74</v>
      </c>
      <c r="H217" s="11" t="s">
        <v>53</v>
      </c>
      <c r="I217" s="11">
        <v>2.75</v>
      </c>
      <c r="J217" s="11">
        <v>3447.0689400000006</v>
      </c>
      <c r="K217" s="11">
        <v>3200.3740439999997</v>
      </c>
      <c r="L217" s="11">
        <v>2913.721524</v>
      </c>
      <c r="M217" s="11">
        <v>2617.0795980000003</v>
      </c>
      <c r="N217" s="11">
        <v>2270.4906420000002</v>
      </c>
      <c r="O217" s="11">
        <v>2270.4906420000002</v>
      </c>
      <c r="P217" s="11">
        <v>3981.2849999999999</v>
      </c>
      <c r="Q217" s="11">
        <v>3981.2849999999999</v>
      </c>
      <c r="R217" s="11">
        <v>3981.2849999999999</v>
      </c>
      <c r="S217" s="11">
        <v>3981.2849999999999</v>
      </c>
      <c r="T217" s="11">
        <v>3795.829506</v>
      </c>
      <c r="U217" s="11">
        <v>3631.2214680000002</v>
      </c>
    </row>
    <row r="218" spans="1:21" x14ac:dyDescent="0.25">
      <c r="A218" s="8">
        <v>217</v>
      </c>
      <c r="B218" s="8">
        <v>20.021000000000001</v>
      </c>
      <c r="C218" s="8">
        <v>85.0715</v>
      </c>
      <c r="D218" s="8" t="s">
        <v>7</v>
      </c>
      <c r="E218" s="8" t="s">
        <v>93</v>
      </c>
      <c r="F218" s="21">
        <v>4</v>
      </c>
      <c r="G218" s="8">
        <v>6185.89</v>
      </c>
      <c r="H218" s="11" t="s">
        <v>56</v>
      </c>
      <c r="I218" s="11">
        <v>3.75</v>
      </c>
      <c r="J218" s="11">
        <v>20914.494090000004</v>
      </c>
      <c r="K218" s="11">
        <v>19860.418433999999</v>
      </c>
      <c r="L218" s="11">
        <v>18635.612214000001</v>
      </c>
      <c r="M218" s="11">
        <v>17368.123353000003</v>
      </c>
      <c r="N218" s="11">
        <v>15887.221287</v>
      </c>
      <c r="O218" s="11">
        <v>15887.221287</v>
      </c>
      <c r="P218" s="11">
        <v>23197.087500000001</v>
      </c>
      <c r="Q218" s="11">
        <v>23197.087500000001</v>
      </c>
      <c r="R218" s="11">
        <v>23197.087500000001</v>
      </c>
      <c r="S218" s="11">
        <v>23197.087500000001</v>
      </c>
      <c r="T218" s="11">
        <v>22404.674991000004</v>
      </c>
      <c r="U218" s="11">
        <v>21701.339298000003</v>
      </c>
    </row>
    <row r="219" spans="1:21" x14ac:dyDescent="0.25">
      <c r="A219" s="8">
        <v>218</v>
      </c>
      <c r="B219" s="8">
        <v>20.023</v>
      </c>
      <c r="C219" s="8">
        <v>85.0779</v>
      </c>
      <c r="D219" s="8" t="s">
        <v>7</v>
      </c>
      <c r="E219" s="8" t="s">
        <v>93</v>
      </c>
      <c r="F219" s="21">
        <v>4</v>
      </c>
      <c r="G219" s="8">
        <v>6139.27</v>
      </c>
      <c r="H219" s="11" t="s">
        <v>56</v>
      </c>
      <c r="I219" s="11">
        <v>3.75</v>
      </c>
      <c r="J219" s="11">
        <v>20756.871870000003</v>
      </c>
      <c r="K219" s="11">
        <v>19710.740261999999</v>
      </c>
      <c r="L219" s="11">
        <v>18495.164801999999</v>
      </c>
      <c r="M219" s="11">
        <v>17237.228379</v>
      </c>
      <c r="N219" s="11">
        <v>15767.487141</v>
      </c>
      <c r="O219" s="11">
        <v>15767.487141</v>
      </c>
      <c r="P219" s="11">
        <v>23022.262500000001</v>
      </c>
      <c r="Q219" s="11">
        <v>23022.262500000001</v>
      </c>
      <c r="R219" s="11">
        <v>23022.262500000001</v>
      </c>
      <c r="S219" s="11">
        <v>23022.262500000001</v>
      </c>
      <c r="T219" s="11">
        <v>22235.822013000001</v>
      </c>
      <c r="U219" s="11">
        <v>21537.787014000001</v>
      </c>
    </row>
    <row r="220" spans="1:21" x14ac:dyDescent="0.25">
      <c r="A220" s="8">
        <v>219</v>
      </c>
      <c r="B220" s="8">
        <v>20.0229</v>
      </c>
      <c r="C220" s="8">
        <v>85.081100000000006</v>
      </c>
      <c r="D220" s="8" t="s">
        <v>7</v>
      </c>
      <c r="E220" s="8" t="s">
        <v>93</v>
      </c>
      <c r="F220" s="21">
        <v>3</v>
      </c>
      <c r="G220" s="8">
        <v>7868.47</v>
      </c>
      <c r="H220" s="11" t="s">
        <v>56</v>
      </c>
      <c r="I220" s="11">
        <v>2.75</v>
      </c>
      <c r="J220" s="11">
        <v>18734.827070000003</v>
      </c>
      <c r="K220" s="11">
        <v>17394.039782</v>
      </c>
      <c r="L220" s="11">
        <v>15836.082721999999</v>
      </c>
      <c r="M220" s="11">
        <v>14223.833219000002</v>
      </c>
      <c r="N220" s="11">
        <v>12340.121501000001</v>
      </c>
      <c r="O220" s="11">
        <v>12340.121501000001</v>
      </c>
      <c r="P220" s="11">
        <v>21638.2925</v>
      </c>
      <c r="Q220" s="11">
        <v>21638.2925</v>
      </c>
      <c r="R220" s="11">
        <v>21638.2925</v>
      </c>
      <c r="S220" s="11">
        <v>21638.2925</v>
      </c>
      <c r="T220" s="11">
        <v>20630.341493</v>
      </c>
      <c r="U220" s="11">
        <v>19735.696454000001</v>
      </c>
    </row>
    <row r="221" spans="1:21" x14ac:dyDescent="0.25">
      <c r="A221" s="8">
        <v>220</v>
      </c>
      <c r="B221" s="8">
        <v>20.021999999999998</v>
      </c>
      <c r="C221" s="8">
        <v>85.081100000000006</v>
      </c>
      <c r="D221" s="8" t="s">
        <v>7</v>
      </c>
      <c r="E221" s="8" t="s">
        <v>93</v>
      </c>
      <c r="F221" s="21">
        <v>3</v>
      </c>
      <c r="G221" s="8">
        <v>4253.1899999999996</v>
      </c>
      <c r="H221" s="11" t="s">
        <v>56</v>
      </c>
      <c r="I221" s="11">
        <v>2.75</v>
      </c>
      <c r="J221" s="11">
        <v>10126.84539</v>
      </c>
      <c r="K221" s="11">
        <v>9402.1018139999978</v>
      </c>
      <c r="L221" s="11">
        <v>8559.9701939999995</v>
      </c>
      <c r="M221" s="11">
        <v>7688.4915629999996</v>
      </c>
      <c r="N221" s="11">
        <v>6670.2778769999995</v>
      </c>
      <c r="O221" s="11">
        <v>6670.2778769999995</v>
      </c>
      <c r="P221" s="11">
        <v>11696.272499999999</v>
      </c>
      <c r="Q221" s="11">
        <v>11696.272499999999</v>
      </c>
      <c r="R221" s="11">
        <v>11696.272499999999</v>
      </c>
      <c r="S221" s="11">
        <v>11696.272499999999</v>
      </c>
      <c r="T221" s="11">
        <v>11151.438860999999</v>
      </c>
      <c r="U221" s="11">
        <v>10667.851157999999</v>
      </c>
    </row>
    <row r="222" spans="1:21" x14ac:dyDescent="0.25">
      <c r="A222" s="8">
        <v>221</v>
      </c>
      <c r="B222" s="8">
        <v>20.020700000000001</v>
      </c>
      <c r="C222" s="8">
        <v>85.081299999999999</v>
      </c>
      <c r="D222" s="8" t="s">
        <v>7</v>
      </c>
      <c r="E222" s="8" t="s">
        <v>93</v>
      </c>
      <c r="F222" s="21">
        <v>3</v>
      </c>
      <c r="G222" s="8">
        <v>4829.04</v>
      </c>
      <c r="H222" s="11" t="s">
        <v>56</v>
      </c>
      <c r="I222" s="11">
        <v>2.75</v>
      </c>
      <c r="J222" s="11">
        <v>11497.944240000001</v>
      </c>
      <c r="K222" s="11">
        <v>10675.075824</v>
      </c>
      <c r="L222" s="11">
        <v>9718.9259039999997</v>
      </c>
      <c r="M222" s="11">
        <v>8729.4556080000002</v>
      </c>
      <c r="N222" s="11">
        <v>7573.3834319999996</v>
      </c>
      <c r="O222" s="11">
        <v>7573.3834319999996</v>
      </c>
      <c r="P222" s="11">
        <v>13279.86</v>
      </c>
      <c r="Q222" s="11">
        <v>13279.86</v>
      </c>
      <c r="R222" s="11">
        <v>13279.86</v>
      </c>
      <c r="S222" s="11">
        <v>13279.86</v>
      </c>
      <c r="T222" s="11">
        <v>12661.259976000001</v>
      </c>
      <c r="U222" s="11">
        <v>12112.198128</v>
      </c>
    </row>
    <row r="223" spans="1:21" x14ac:dyDescent="0.25">
      <c r="A223" s="8">
        <v>222</v>
      </c>
      <c r="B223" s="8">
        <v>20.0198</v>
      </c>
      <c r="C223" s="8">
        <v>85.080500000000001</v>
      </c>
      <c r="D223" s="8" t="s">
        <v>7</v>
      </c>
      <c r="E223" s="8" t="s">
        <v>93</v>
      </c>
      <c r="F223" s="21">
        <v>3</v>
      </c>
      <c r="G223" s="8">
        <v>5181.96</v>
      </c>
      <c r="H223" s="11" t="s">
        <v>56</v>
      </c>
      <c r="I223" s="11">
        <v>2.75</v>
      </c>
      <c r="J223" s="11">
        <v>12338.246760000002</v>
      </c>
      <c r="K223" s="11">
        <v>11455.240775999999</v>
      </c>
      <c r="L223" s="11">
        <v>10429.212696000001</v>
      </c>
      <c r="M223" s="11">
        <v>9367.4290920000003</v>
      </c>
      <c r="N223" s="11">
        <v>8126.8678680000003</v>
      </c>
      <c r="O223" s="11">
        <v>8126.8678680000003</v>
      </c>
      <c r="P223" s="11">
        <v>14250.39</v>
      </c>
      <c r="Q223" s="11">
        <v>14250.39</v>
      </c>
      <c r="R223" s="11">
        <v>14250.39</v>
      </c>
      <c r="S223" s="11">
        <v>14250.39</v>
      </c>
      <c r="T223" s="11">
        <v>13586.580924</v>
      </c>
      <c r="U223" s="11">
        <v>12997.392072000001</v>
      </c>
    </row>
    <row r="224" spans="1:21" x14ac:dyDescent="0.25">
      <c r="A224" s="8">
        <v>223</v>
      </c>
      <c r="B224" s="8">
        <v>20.018699999999999</v>
      </c>
      <c r="C224" s="8">
        <v>85.08</v>
      </c>
      <c r="D224" s="8" t="s">
        <v>7</v>
      </c>
      <c r="E224" s="8" t="s">
        <v>93</v>
      </c>
      <c r="F224" s="21">
        <v>3</v>
      </c>
      <c r="G224" s="8">
        <v>4290.66</v>
      </c>
      <c r="H224" s="11" t="s">
        <v>56</v>
      </c>
      <c r="I224" s="11">
        <v>2.75</v>
      </c>
      <c r="J224" s="11">
        <v>10216.061460000001</v>
      </c>
      <c r="K224" s="11">
        <v>9484.9329959999995</v>
      </c>
      <c r="L224" s="11">
        <v>8635.3823159999993</v>
      </c>
      <c r="M224" s="11">
        <v>7756.2260820000001</v>
      </c>
      <c r="N224" s="11">
        <v>6729.0420779999995</v>
      </c>
      <c r="O224" s="11">
        <v>6729.0420779999995</v>
      </c>
      <c r="P224" s="11">
        <v>11799.314999999999</v>
      </c>
      <c r="Q224" s="11">
        <v>11799.314999999999</v>
      </c>
      <c r="R224" s="11">
        <v>11799.314999999999</v>
      </c>
      <c r="S224" s="11">
        <v>11799.314999999999</v>
      </c>
      <c r="T224" s="11">
        <v>11249.681454</v>
      </c>
      <c r="U224" s="11">
        <v>10761.833412</v>
      </c>
    </row>
    <row r="225" spans="1:21" x14ac:dyDescent="0.25">
      <c r="A225" s="8">
        <v>224</v>
      </c>
      <c r="B225" s="8">
        <v>20.0227</v>
      </c>
      <c r="C225" s="8">
        <v>85.088300000000004</v>
      </c>
      <c r="D225" s="8" t="s">
        <v>7</v>
      </c>
      <c r="E225" s="8" t="s">
        <v>93</v>
      </c>
      <c r="F225" s="21">
        <v>3</v>
      </c>
      <c r="G225" s="8">
        <v>3220.79</v>
      </c>
      <c r="H225" s="11" t="s">
        <v>56</v>
      </c>
      <c r="I225" s="11">
        <v>2.75</v>
      </c>
      <c r="J225" s="11">
        <v>7668.7009900000003</v>
      </c>
      <c r="K225" s="11">
        <v>7119.8783739999999</v>
      </c>
      <c r="L225" s="11">
        <v>6482.1619540000002</v>
      </c>
      <c r="M225" s="11">
        <v>5822.2220830000006</v>
      </c>
      <c r="N225" s="11">
        <v>5051.164957</v>
      </c>
      <c r="O225" s="11">
        <v>5051.164957</v>
      </c>
      <c r="P225" s="11">
        <v>8857.1725000000006</v>
      </c>
      <c r="Q225" s="11">
        <v>8857.1725000000006</v>
      </c>
      <c r="R225" s="11">
        <v>8857.1725000000006</v>
      </c>
      <c r="S225" s="11">
        <v>8857.1725000000006</v>
      </c>
      <c r="T225" s="11">
        <v>8444.589301</v>
      </c>
      <c r="U225" s="11">
        <v>8078.3854780000001</v>
      </c>
    </row>
    <row r="226" spans="1:21" x14ac:dyDescent="0.25">
      <c r="A226" s="8">
        <v>225</v>
      </c>
      <c r="B226" s="8">
        <v>20.0259</v>
      </c>
      <c r="C226" s="8">
        <v>85.085999999999999</v>
      </c>
      <c r="D226" s="8" t="s">
        <v>7</v>
      </c>
      <c r="E226" s="8" t="s">
        <v>93</v>
      </c>
      <c r="F226" s="21">
        <v>3</v>
      </c>
      <c r="G226" s="8">
        <v>7760.06</v>
      </c>
      <c r="H226" s="11" t="s">
        <v>56</v>
      </c>
      <c r="I226" s="11">
        <v>2.75</v>
      </c>
      <c r="J226" s="11">
        <v>18476.702860000001</v>
      </c>
      <c r="K226" s="11">
        <v>17154.388636</v>
      </c>
      <c r="L226" s="11">
        <v>15617.896756</v>
      </c>
      <c r="M226" s="11">
        <v>14027.860462000001</v>
      </c>
      <c r="N226" s="11">
        <v>12170.102098000001</v>
      </c>
      <c r="O226" s="11">
        <v>12170.102098000001</v>
      </c>
      <c r="P226" s="11">
        <v>21340.165000000001</v>
      </c>
      <c r="Q226" s="11">
        <v>21340.165000000001</v>
      </c>
      <c r="R226" s="11">
        <v>21340.165000000001</v>
      </c>
      <c r="S226" s="11">
        <v>21340.165000000001</v>
      </c>
      <c r="T226" s="11">
        <v>20346.101314000003</v>
      </c>
      <c r="U226" s="11">
        <v>19463.782492000002</v>
      </c>
    </row>
    <row r="227" spans="1:21" x14ac:dyDescent="0.25">
      <c r="A227" s="8">
        <v>226</v>
      </c>
      <c r="B227" s="8">
        <v>20.027899999999999</v>
      </c>
      <c r="C227" s="8">
        <v>85.087500000000006</v>
      </c>
      <c r="D227" s="8" t="s">
        <v>7</v>
      </c>
      <c r="E227" s="8" t="s">
        <v>93</v>
      </c>
      <c r="F227" s="21">
        <v>3</v>
      </c>
      <c r="G227" s="8">
        <v>1507.35</v>
      </c>
      <c r="H227" s="11" t="s">
        <v>56</v>
      </c>
      <c r="I227" s="11">
        <v>2.75</v>
      </c>
      <c r="J227" s="11">
        <v>3589.0003500000003</v>
      </c>
      <c r="K227" s="11">
        <v>3332.1479099999997</v>
      </c>
      <c r="L227" s="11">
        <v>3033.6926099999996</v>
      </c>
      <c r="M227" s="11">
        <v>2724.8365949999998</v>
      </c>
      <c r="N227" s="11">
        <v>2363.9770049999997</v>
      </c>
      <c r="O227" s="11">
        <v>2363.9770049999997</v>
      </c>
      <c r="P227" s="11">
        <v>4145.2124999999996</v>
      </c>
      <c r="Q227" s="11">
        <v>4145.2124999999996</v>
      </c>
      <c r="R227" s="11">
        <v>4145.2124999999996</v>
      </c>
      <c r="S227" s="11">
        <v>4145.2124999999996</v>
      </c>
      <c r="T227" s="11">
        <v>3952.1209650000001</v>
      </c>
      <c r="U227" s="11">
        <v>3780.7352699999997</v>
      </c>
    </row>
    <row r="228" spans="1:21" x14ac:dyDescent="0.25">
      <c r="A228" s="8">
        <v>227</v>
      </c>
      <c r="B228" s="8">
        <v>20.027799999999999</v>
      </c>
      <c r="C228" s="8">
        <v>85.088399999999993</v>
      </c>
      <c r="D228" s="8" t="s">
        <v>7</v>
      </c>
      <c r="E228" s="8" t="s">
        <v>93</v>
      </c>
      <c r="F228" s="21">
        <v>3</v>
      </c>
      <c r="G228" s="8">
        <v>690.2</v>
      </c>
      <c r="H228" s="11" t="s">
        <v>56</v>
      </c>
      <c r="I228" s="11">
        <v>2.75</v>
      </c>
      <c r="J228" s="11">
        <v>1643.3662000000002</v>
      </c>
      <c r="K228" s="11">
        <v>1525.75612</v>
      </c>
      <c r="L228" s="11">
        <v>1389.0965200000001</v>
      </c>
      <c r="M228" s="11">
        <v>1247.6745400000002</v>
      </c>
      <c r="N228" s="11">
        <v>1082.44066</v>
      </c>
      <c r="O228" s="11">
        <v>1082.44066</v>
      </c>
      <c r="P228" s="11">
        <v>1898.0500000000002</v>
      </c>
      <c r="Q228" s="11">
        <v>1898.0500000000002</v>
      </c>
      <c r="R228" s="11">
        <v>1898.0500000000002</v>
      </c>
      <c r="S228" s="11">
        <v>1898.0500000000002</v>
      </c>
      <c r="T228" s="11">
        <v>1809.6353800000002</v>
      </c>
      <c r="U228" s="11">
        <v>1731.1596400000001</v>
      </c>
    </row>
    <row r="229" spans="1:21" x14ac:dyDescent="0.25">
      <c r="A229" s="8">
        <v>228</v>
      </c>
      <c r="B229" s="8">
        <v>20.028199999999998</v>
      </c>
      <c r="C229" s="8">
        <v>85.088899999999995</v>
      </c>
      <c r="D229" s="8" t="s">
        <v>7</v>
      </c>
      <c r="E229" s="8" t="s">
        <v>93</v>
      </c>
      <c r="F229" s="21">
        <v>3</v>
      </c>
      <c r="G229" s="8">
        <v>907.12</v>
      </c>
      <c r="H229" s="11" t="s">
        <v>56</v>
      </c>
      <c r="I229" s="11">
        <v>2.75</v>
      </c>
      <c r="J229" s="11">
        <v>2159.8527200000003</v>
      </c>
      <c r="K229" s="11">
        <v>2005.2794719999999</v>
      </c>
      <c r="L229" s="11">
        <v>1825.6697119999999</v>
      </c>
      <c r="M229" s="11">
        <v>1639.8008240000001</v>
      </c>
      <c r="N229" s="11">
        <v>1422.6362960000001</v>
      </c>
      <c r="O229" s="11">
        <v>1422.6362960000001</v>
      </c>
      <c r="P229" s="11">
        <v>2494.58</v>
      </c>
      <c r="Q229" s="11">
        <v>2494.58</v>
      </c>
      <c r="R229" s="11">
        <v>2494.58</v>
      </c>
      <c r="S229" s="11">
        <v>2494.58</v>
      </c>
      <c r="T229" s="11">
        <v>2378.3779280000003</v>
      </c>
      <c r="U229" s="11">
        <v>2275.2383840000002</v>
      </c>
    </row>
    <row r="230" spans="1:21" x14ac:dyDescent="0.25">
      <c r="A230" s="8">
        <v>229</v>
      </c>
      <c r="B230" s="8">
        <v>20.029</v>
      </c>
      <c r="C230" s="8">
        <v>85.097800000000007</v>
      </c>
      <c r="D230" s="8" t="s">
        <v>7</v>
      </c>
      <c r="E230" s="8" t="s">
        <v>93</v>
      </c>
      <c r="F230" s="21">
        <v>4</v>
      </c>
      <c r="G230" s="8">
        <v>8372.36</v>
      </c>
      <c r="H230" s="11" t="s">
        <v>56</v>
      </c>
      <c r="I230" s="11">
        <v>3.75</v>
      </c>
      <c r="J230" s="11">
        <v>28306.949160000004</v>
      </c>
      <c r="K230" s="11">
        <v>26880.299016000001</v>
      </c>
      <c r="L230" s="11">
        <v>25222.571736000002</v>
      </c>
      <c r="M230" s="11">
        <v>23507.075172000001</v>
      </c>
      <c r="N230" s="11">
        <v>21502.732187999998</v>
      </c>
      <c r="O230" s="11">
        <v>21502.732187999998</v>
      </c>
      <c r="P230" s="11">
        <v>31396.350000000002</v>
      </c>
      <c r="Q230" s="11">
        <v>31396.350000000002</v>
      </c>
      <c r="R230" s="11">
        <v>31396.350000000002</v>
      </c>
      <c r="S230" s="11">
        <v>31396.350000000002</v>
      </c>
      <c r="T230" s="11">
        <v>30323.850684000005</v>
      </c>
      <c r="U230" s="11">
        <v>29371.913352000003</v>
      </c>
    </row>
    <row r="231" spans="1:21" x14ac:dyDescent="0.25">
      <c r="A231" s="8">
        <v>230</v>
      </c>
      <c r="B231" s="8">
        <v>20.032599999999999</v>
      </c>
      <c r="C231" s="8">
        <v>85.097800000000007</v>
      </c>
      <c r="D231" s="8" t="s">
        <v>7</v>
      </c>
      <c r="E231" s="8" t="s">
        <v>93</v>
      </c>
      <c r="F231" s="21">
        <v>3</v>
      </c>
      <c r="G231" s="8">
        <v>1404.43</v>
      </c>
      <c r="H231" s="11" t="s">
        <v>56</v>
      </c>
      <c r="I231" s="11">
        <v>2.75</v>
      </c>
      <c r="J231" s="11">
        <v>3343.9478300000005</v>
      </c>
      <c r="K231" s="11">
        <v>3104.6329580000001</v>
      </c>
      <c r="L231" s="11">
        <v>2826.5558180000003</v>
      </c>
      <c r="M231" s="11">
        <v>2538.7881110000003</v>
      </c>
      <c r="N231" s="11">
        <v>2202.5675690000003</v>
      </c>
      <c r="O231" s="11">
        <v>2202.5675690000003</v>
      </c>
      <c r="P231" s="11">
        <v>3862.1825000000003</v>
      </c>
      <c r="Q231" s="11">
        <v>3862.1825000000003</v>
      </c>
      <c r="R231" s="11">
        <v>3862.1825000000003</v>
      </c>
      <c r="S231" s="11">
        <v>3862.1825000000003</v>
      </c>
      <c r="T231" s="11">
        <v>3682.2750170000004</v>
      </c>
      <c r="U231" s="11">
        <v>3522.5913260000002</v>
      </c>
    </row>
    <row r="232" spans="1:21" x14ac:dyDescent="0.25">
      <c r="A232" s="8">
        <v>231</v>
      </c>
      <c r="B232" s="8">
        <v>20.0336</v>
      </c>
      <c r="C232" s="8">
        <v>85.102599999999995</v>
      </c>
      <c r="D232" s="8" t="s">
        <v>7</v>
      </c>
      <c r="E232" s="8" t="s">
        <v>93</v>
      </c>
      <c r="F232" s="21">
        <v>3</v>
      </c>
      <c r="G232" s="8">
        <v>8908.77</v>
      </c>
      <c r="H232" s="11" t="s">
        <v>56</v>
      </c>
      <c r="I232" s="11">
        <v>2.75</v>
      </c>
      <c r="J232" s="11">
        <v>21211.781370000004</v>
      </c>
      <c r="K232" s="11">
        <v>19693.726962000001</v>
      </c>
      <c r="L232" s="11">
        <v>17929.790502</v>
      </c>
      <c r="M232" s="11">
        <v>16104.383529000001</v>
      </c>
      <c r="N232" s="11">
        <v>13971.623991</v>
      </c>
      <c r="O232" s="11">
        <v>13971.623991</v>
      </c>
      <c r="P232" s="11">
        <v>24499.1175</v>
      </c>
      <c r="Q232" s="11">
        <v>24499.1175</v>
      </c>
      <c r="R232" s="11">
        <v>24499.1175</v>
      </c>
      <c r="S232" s="11">
        <v>24499.1175</v>
      </c>
      <c r="T232" s="11">
        <v>23357.904063000002</v>
      </c>
      <c r="U232" s="11">
        <v>22344.976914000003</v>
      </c>
    </row>
    <row r="233" spans="1:21" x14ac:dyDescent="0.25">
      <c r="A233" s="8">
        <v>232</v>
      </c>
      <c r="B233" s="8">
        <v>20.032499999999999</v>
      </c>
      <c r="C233" s="8">
        <v>85.102199999999996</v>
      </c>
      <c r="D233" s="8" t="s">
        <v>7</v>
      </c>
      <c r="E233" s="8" t="s">
        <v>93</v>
      </c>
      <c r="F233" s="21">
        <v>2</v>
      </c>
      <c r="G233" s="8">
        <v>427.99</v>
      </c>
      <c r="H233" s="11" t="s">
        <v>56</v>
      </c>
      <c r="I233" s="11">
        <v>1.75</v>
      </c>
      <c r="J233" s="11">
        <v>591.05419000000006</v>
      </c>
      <c r="K233" s="11">
        <v>518.12469399999998</v>
      </c>
      <c r="L233" s="11">
        <v>433.38267400000001</v>
      </c>
      <c r="M233" s="11">
        <v>345.687523</v>
      </c>
      <c r="N233" s="11">
        <v>243.22671700000001</v>
      </c>
      <c r="O233" s="11">
        <v>243.22671700000001</v>
      </c>
      <c r="P233" s="11">
        <v>748.98250000000007</v>
      </c>
      <c r="Q233" s="11">
        <v>748.98250000000007</v>
      </c>
      <c r="R233" s="11">
        <v>748.98250000000007</v>
      </c>
      <c r="S233" s="11">
        <v>748.98250000000007</v>
      </c>
      <c r="T233" s="11">
        <v>694.15698100000009</v>
      </c>
      <c r="U233" s="11">
        <v>645.49451799999997</v>
      </c>
    </row>
    <row r="234" spans="1:21" x14ac:dyDescent="0.25">
      <c r="A234" s="8">
        <v>233</v>
      </c>
      <c r="B234" s="8">
        <v>20.0349</v>
      </c>
      <c r="C234" s="8">
        <v>85.102199999999996</v>
      </c>
      <c r="D234" s="8" t="s">
        <v>7</v>
      </c>
      <c r="E234" s="8" t="s">
        <v>93</v>
      </c>
      <c r="F234" s="21">
        <v>2</v>
      </c>
      <c r="G234" s="8">
        <v>1402.34</v>
      </c>
      <c r="H234" s="11" t="s">
        <v>56</v>
      </c>
      <c r="I234" s="11">
        <v>1.75</v>
      </c>
      <c r="J234" s="11">
        <v>1936.6315399999999</v>
      </c>
      <c r="K234" s="11">
        <v>1697.6728039999998</v>
      </c>
      <c r="L234" s="11">
        <v>1420.0094839999999</v>
      </c>
      <c r="M234" s="11">
        <v>1132.6700179999998</v>
      </c>
      <c r="N234" s="11">
        <v>796.94982200000004</v>
      </c>
      <c r="O234" s="11">
        <v>796.94982200000004</v>
      </c>
      <c r="P234" s="11">
        <v>2454.0949999999998</v>
      </c>
      <c r="Q234" s="11">
        <v>2454.0949999999998</v>
      </c>
      <c r="R234" s="11">
        <v>2454.0949999999998</v>
      </c>
      <c r="S234" s="11">
        <v>2454.0949999999998</v>
      </c>
      <c r="T234" s="11">
        <v>2274.455246</v>
      </c>
      <c r="U234" s="11">
        <v>2115.009188</v>
      </c>
    </row>
    <row r="235" spans="1:21" x14ac:dyDescent="0.25">
      <c r="A235" s="8">
        <v>234</v>
      </c>
      <c r="B235" s="8">
        <v>20.036100000000001</v>
      </c>
      <c r="C235" s="8">
        <v>85.105599999999995</v>
      </c>
      <c r="D235" s="8" t="s">
        <v>7</v>
      </c>
      <c r="E235" s="8" t="s">
        <v>93</v>
      </c>
      <c r="F235" s="21">
        <v>2</v>
      </c>
      <c r="G235" s="8">
        <v>2280.6</v>
      </c>
      <c r="H235" s="11" t="s">
        <v>56</v>
      </c>
      <c r="I235" s="11">
        <v>1.75</v>
      </c>
      <c r="J235" s="11">
        <v>3149.5085999999997</v>
      </c>
      <c r="K235" s="11">
        <v>2760.8943599999998</v>
      </c>
      <c r="L235" s="11">
        <v>2309.33556</v>
      </c>
      <c r="M235" s="11">
        <v>1842.0406199999998</v>
      </c>
      <c r="N235" s="11">
        <v>1296.0649800000001</v>
      </c>
      <c r="O235" s="11">
        <v>1296.0649800000001</v>
      </c>
      <c r="P235" s="11">
        <v>3991.0499999999997</v>
      </c>
      <c r="Q235" s="11">
        <v>3991.0499999999997</v>
      </c>
      <c r="R235" s="11">
        <v>3991.0499999999997</v>
      </c>
      <c r="S235" s="11">
        <v>3991.0499999999997</v>
      </c>
      <c r="T235" s="11">
        <v>3698.9051400000003</v>
      </c>
      <c r="U235" s="11">
        <v>3439.6009199999999</v>
      </c>
    </row>
    <row r="236" spans="1:21" x14ac:dyDescent="0.25">
      <c r="A236" s="8">
        <v>235</v>
      </c>
      <c r="B236" s="8">
        <v>20.036899999999999</v>
      </c>
      <c r="C236" s="8">
        <v>85.107500000000002</v>
      </c>
      <c r="D236" s="8" t="s">
        <v>7</v>
      </c>
      <c r="E236" s="8" t="s">
        <v>93</v>
      </c>
      <c r="F236" s="21">
        <v>3</v>
      </c>
      <c r="G236" s="8">
        <v>10268.75</v>
      </c>
      <c r="H236" s="11" t="s">
        <v>56</v>
      </c>
      <c r="I236" s="11">
        <v>2.75</v>
      </c>
      <c r="J236" s="11">
        <v>24449.893750000003</v>
      </c>
      <c r="K236" s="11">
        <v>22700.098749999997</v>
      </c>
      <c r="L236" s="11">
        <v>20666.88625</v>
      </c>
      <c r="M236" s="11">
        <v>18562.819374999999</v>
      </c>
      <c r="N236" s="11">
        <v>16104.480625</v>
      </c>
      <c r="O236" s="11">
        <v>16104.480625</v>
      </c>
      <c r="P236" s="11">
        <v>28239.0625</v>
      </c>
      <c r="Q236" s="11">
        <v>28239.0625</v>
      </c>
      <c r="R236" s="11">
        <v>28239.0625</v>
      </c>
      <c r="S236" s="11">
        <v>28239.0625</v>
      </c>
      <c r="T236" s="11">
        <v>26923.635625000003</v>
      </c>
      <c r="U236" s="11">
        <v>25756.078750000001</v>
      </c>
    </row>
    <row r="237" spans="1:21" x14ac:dyDescent="0.25">
      <c r="A237" s="8">
        <v>236</v>
      </c>
      <c r="B237" s="8">
        <v>20.038399999999999</v>
      </c>
      <c r="C237" s="8">
        <v>85.11</v>
      </c>
      <c r="D237" s="8" t="s">
        <v>7</v>
      </c>
      <c r="E237" s="8" t="s">
        <v>93</v>
      </c>
      <c r="F237" s="21">
        <v>3</v>
      </c>
      <c r="G237" s="8">
        <v>6099.25</v>
      </c>
      <c r="H237" s="11" t="s">
        <v>56</v>
      </c>
      <c r="I237" s="11">
        <v>2.75</v>
      </c>
      <c r="J237" s="11">
        <v>14522.314250000001</v>
      </c>
      <c r="K237" s="11">
        <v>13483.002049999999</v>
      </c>
      <c r="L237" s="11">
        <v>12275.350549999999</v>
      </c>
      <c r="M237" s="11">
        <v>11025.614225000001</v>
      </c>
      <c r="N237" s="11">
        <v>9565.453775</v>
      </c>
      <c r="O237" s="11">
        <v>9565.453775</v>
      </c>
      <c r="P237" s="11">
        <v>16772.9375</v>
      </c>
      <c r="Q237" s="11">
        <v>16772.9375</v>
      </c>
      <c r="R237" s="11">
        <v>16772.9375</v>
      </c>
      <c r="S237" s="11">
        <v>16772.9375</v>
      </c>
      <c r="T237" s="11">
        <v>15991.623575000001</v>
      </c>
      <c r="U237" s="11">
        <v>15298.138849999999</v>
      </c>
    </row>
    <row r="238" spans="1:21" x14ac:dyDescent="0.25">
      <c r="A238" s="8">
        <v>237</v>
      </c>
      <c r="B238" s="8">
        <v>20.037099999999999</v>
      </c>
      <c r="C238" s="8">
        <v>85.111599999999996</v>
      </c>
      <c r="D238" s="8" t="s">
        <v>7</v>
      </c>
      <c r="E238" s="8" t="s">
        <v>93</v>
      </c>
      <c r="F238" s="21">
        <v>3</v>
      </c>
      <c r="G238" s="8">
        <v>604.22</v>
      </c>
      <c r="H238" s="11" t="s">
        <v>56</v>
      </c>
      <c r="I238" s="11">
        <v>2.75</v>
      </c>
      <c r="J238" s="11">
        <v>1438.6478200000001</v>
      </c>
      <c r="K238" s="11">
        <v>1335.6887320000001</v>
      </c>
      <c r="L238" s="11">
        <v>1216.0531720000001</v>
      </c>
      <c r="M238" s="11">
        <v>1092.2484940000002</v>
      </c>
      <c r="N238" s="11">
        <v>947.59822600000007</v>
      </c>
      <c r="O238" s="11">
        <v>947.59822600000007</v>
      </c>
      <c r="P238" s="11">
        <v>1661.605</v>
      </c>
      <c r="Q238" s="11">
        <v>1661.605</v>
      </c>
      <c r="R238" s="11">
        <v>1661.605</v>
      </c>
      <c r="S238" s="11">
        <v>1661.605</v>
      </c>
      <c r="T238" s="11">
        <v>1584.204418</v>
      </c>
      <c r="U238" s="11">
        <v>1515.504604</v>
      </c>
    </row>
    <row r="239" spans="1:21" x14ac:dyDescent="0.25">
      <c r="A239" s="8">
        <v>238</v>
      </c>
      <c r="B239" s="8">
        <v>20.0381</v>
      </c>
      <c r="C239" s="8">
        <v>85.114500000000007</v>
      </c>
      <c r="D239" s="8" t="s">
        <v>7</v>
      </c>
      <c r="E239" s="8" t="s">
        <v>93</v>
      </c>
      <c r="F239" s="21">
        <v>4</v>
      </c>
      <c r="G239" s="8">
        <v>7102.55</v>
      </c>
      <c r="H239" s="11" t="s">
        <v>56</v>
      </c>
      <c r="I239" s="11">
        <v>3.75</v>
      </c>
      <c r="J239" s="11">
        <v>24013.721550000002</v>
      </c>
      <c r="K239" s="11">
        <v>22803.447029999999</v>
      </c>
      <c r="L239" s="11">
        <v>21397.14213</v>
      </c>
      <c r="M239" s="11">
        <v>19941.829635000002</v>
      </c>
      <c r="N239" s="11">
        <v>18241.479165000001</v>
      </c>
      <c r="O239" s="11">
        <v>18241.479165000001</v>
      </c>
      <c r="P239" s="11">
        <v>26634.5625</v>
      </c>
      <c r="Q239" s="11">
        <v>26634.5625</v>
      </c>
      <c r="R239" s="11">
        <v>26634.5625</v>
      </c>
      <c r="S239" s="11">
        <v>26634.5625</v>
      </c>
      <c r="T239" s="11">
        <v>25724.725845000001</v>
      </c>
      <c r="U239" s="11">
        <v>24917.16591</v>
      </c>
    </row>
    <row r="240" spans="1:21" x14ac:dyDescent="0.25">
      <c r="A240" s="8">
        <v>239</v>
      </c>
      <c r="B240" s="8">
        <v>20.036999999999999</v>
      </c>
      <c r="C240" s="8">
        <v>85.114999999999995</v>
      </c>
      <c r="D240" s="8" t="s">
        <v>7</v>
      </c>
      <c r="E240" s="8" t="s">
        <v>93</v>
      </c>
      <c r="F240" s="21">
        <v>3</v>
      </c>
      <c r="G240" s="8">
        <v>1633.59</v>
      </c>
      <c r="H240" s="11" t="s">
        <v>56</v>
      </c>
      <c r="I240" s="11">
        <v>2.75</v>
      </c>
      <c r="J240" s="11">
        <v>3889.5777900000003</v>
      </c>
      <c r="K240" s="11">
        <v>3611.2140539999996</v>
      </c>
      <c r="L240" s="11">
        <v>3287.7632339999996</v>
      </c>
      <c r="M240" s="11">
        <v>2953.0406429999998</v>
      </c>
      <c r="N240" s="11">
        <v>2561.9591970000001</v>
      </c>
      <c r="O240" s="11">
        <v>2561.9591970000001</v>
      </c>
      <c r="P240" s="11">
        <v>4492.3724999999995</v>
      </c>
      <c r="Q240" s="11">
        <v>4492.3724999999995</v>
      </c>
      <c r="R240" s="11">
        <v>4492.3724999999995</v>
      </c>
      <c r="S240" s="11">
        <v>4492.3724999999995</v>
      </c>
      <c r="T240" s="11">
        <v>4283.1096209999996</v>
      </c>
      <c r="U240" s="11">
        <v>4097.3704379999999</v>
      </c>
    </row>
    <row r="241" spans="1:21" x14ac:dyDescent="0.25">
      <c r="A241" s="8">
        <v>240</v>
      </c>
      <c r="B241" s="8">
        <v>20.039000000000001</v>
      </c>
      <c r="C241" s="8">
        <v>85.112799999999993</v>
      </c>
      <c r="D241" s="8" t="s">
        <v>7</v>
      </c>
      <c r="E241" s="8" t="s">
        <v>93</v>
      </c>
      <c r="F241" s="21">
        <v>2</v>
      </c>
      <c r="G241" s="8">
        <v>283.06</v>
      </c>
      <c r="H241" s="11" t="s">
        <v>56</v>
      </c>
      <c r="I241" s="11">
        <v>1.75</v>
      </c>
      <c r="J241" s="11">
        <v>390.90586000000002</v>
      </c>
      <c r="K241" s="11">
        <v>342.67243599999995</v>
      </c>
      <c r="L241" s="11">
        <v>286.62655599999999</v>
      </c>
      <c r="M241" s="11">
        <v>228.62756199999998</v>
      </c>
      <c r="N241" s="11">
        <v>160.862998</v>
      </c>
      <c r="O241" s="11">
        <v>160.862998</v>
      </c>
      <c r="P241" s="11">
        <v>495.35500000000002</v>
      </c>
      <c r="Q241" s="11">
        <v>495.35500000000002</v>
      </c>
      <c r="R241" s="11">
        <v>495.35500000000002</v>
      </c>
      <c r="S241" s="11">
        <v>495.35500000000002</v>
      </c>
      <c r="T241" s="11">
        <v>459.09501400000005</v>
      </c>
      <c r="U241" s="11">
        <v>426.911092</v>
      </c>
    </row>
    <row r="242" spans="1:21" x14ac:dyDescent="0.25">
      <c r="A242" s="8">
        <v>241</v>
      </c>
      <c r="B242" s="8">
        <v>20.012</v>
      </c>
      <c r="C242" s="8">
        <v>85.083799999999997</v>
      </c>
      <c r="D242" s="8" t="s">
        <v>7</v>
      </c>
      <c r="E242" s="8" t="s">
        <v>93</v>
      </c>
      <c r="F242" s="21">
        <v>2</v>
      </c>
      <c r="G242" s="8">
        <v>807.12</v>
      </c>
      <c r="H242" s="11" t="s">
        <v>63</v>
      </c>
      <c r="I242" s="11">
        <v>1.75</v>
      </c>
      <c r="J242" s="11">
        <v>1114.6327200000001</v>
      </c>
      <c r="K242" s="11">
        <v>977.09947199999988</v>
      </c>
      <c r="L242" s="11">
        <v>817.28971200000001</v>
      </c>
      <c r="M242" s="11">
        <v>651.91082399999993</v>
      </c>
      <c r="N242" s="11">
        <v>458.68629600000003</v>
      </c>
      <c r="O242" s="11">
        <v>458.68629600000003</v>
      </c>
      <c r="P242" s="11">
        <v>1412.46</v>
      </c>
      <c r="Q242" s="11">
        <v>1412.46</v>
      </c>
      <c r="R242" s="11">
        <v>1412.46</v>
      </c>
      <c r="S242" s="11">
        <v>1412.46</v>
      </c>
      <c r="T242" s="11">
        <v>1309.0679280000002</v>
      </c>
      <c r="U242" s="11">
        <v>1217.2983839999999</v>
      </c>
    </row>
    <row r="243" spans="1:21" x14ac:dyDescent="0.25">
      <c r="A243" s="8">
        <v>242</v>
      </c>
      <c r="B243" s="8">
        <v>20.017800000000001</v>
      </c>
      <c r="C243" s="8">
        <v>85.085599999999999</v>
      </c>
      <c r="D243" s="8" t="s">
        <v>7</v>
      </c>
      <c r="E243" s="8" t="s">
        <v>93</v>
      </c>
      <c r="F243" s="21">
        <v>2</v>
      </c>
      <c r="G243" s="8">
        <v>263.54000000000002</v>
      </c>
      <c r="H243" s="11" t="s">
        <v>63</v>
      </c>
      <c r="I243" s="11">
        <v>1.75</v>
      </c>
      <c r="J243" s="11">
        <v>363.94874000000004</v>
      </c>
      <c r="K243" s="11">
        <v>319.04152399999998</v>
      </c>
      <c r="L243" s="11">
        <v>266.86060400000002</v>
      </c>
      <c r="M243" s="11">
        <v>212.86125800000002</v>
      </c>
      <c r="N243" s="11">
        <v>149.76978200000002</v>
      </c>
      <c r="O243" s="11">
        <v>149.76978200000002</v>
      </c>
      <c r="P243" s="11">
        <v>461.19500000000005</v>
      </c>
      <c r="Q243" s="11">
        <v>461.19500000000005</v>
      </c>
      <c r="R243" s="11">
        <v>461.19500000000005</v>
      </c>
      <c r="S243" s="11">
        <v>461.19500000000005</v>
      </c>
      <c r="T243" s="11">
        <v>427.43552600000004</v>
      </c>
      <c r="U243" s="11">
        <v>397.47102800000005</v>
      </c>
    </row>
    <row r="244" spans="1:21" x14ac:dyDescent="0.25">
      <c r="A244" s="8">
        <v>243</v>
      </c>
      <c r="B244" s="8">
        <v>20.021999999999998</v>
      </c>
      <c r="C244" s="8">
        <v>85.102400000000003</v>
      </c>
      <c r="D244" s="8" t="s">
        <v>7</v>
      </c>
      <c r="E244" s="8" t="s">
        <v>93</v>
      </c>
      <c r="F244" s="21">
        <v>4</v>
      </c>
      <c r="G244" s="8">
        <v>1211.47</v>
      </c>
      <c r="H244" s="11" t="s">
        <v>63</v>
      </c>
      <c r="I244" s="11">
        <v>3.75</v>
      </c>
      <c r="J244" s="11">
        <v>4095.9800700000005</v>
      </c>
      <c r="K244" s="11">
        <v>3889.5455819999997</v>
      </c>
      <c r="L244" s="11">
        <v>3649.6745219999998</v>
      </c>
      <c r="M244" s="11">
        <v>3401.4443190000002</v>
      </c>
      <c r="N244" s="11">
        <v>3111.4184009999999</v>
      </c>
      <c r="O244" s="11">
        <v>3111.4184009999999</v>
      </c>
      <c r="P244" s="11">
        <v>4543.0124999999998</v>
      </c>
      <c r="Q244" s="11">
        <v>4543.0124999999998</v>
      </c>
      <c r="R244" s="11">
        <v>4543.0124999999998</v>
      </c>
      <c r="S244" s="11">
        <v>4543.0124999999998</v>
      </c>
      <c r="T244" s="11">
        <v>4387.8231930000002</v>
      </c>
      <c r="U244" s="11">
        <v>4250.0790539999998</v>
      </c>
    </row>
    <row r="245" spans="1:21" x14ac:dyDescent="0.25">
      <c r="A245" s="8">
        <v>244</v>
      </c>
      <c r="B245" s="8">
        <v>20.022500000000001</v>
      </c>
      <c r="C245" s="8">
        <v>85.102500000000006</v>
      </c>
      <c r="D245" s="8" t="s">
        <v>7</v>
      </c>
      <c r="E245" s="8" t="s">
        <v>93</v>
      </c>
      <c r="F245" s="21">
        <v>4</v>
      </c>
      <c r="G245" s="8">
        <v>2633.12</v>
      </c>
      <c r="H245" s="11" t="s">
        <v>63</v>
      </c>
      <c r="I245" s="11">
        <v>3.75</v>
      </c>
      <c r="J245" s="11">
        <v>8902.5787199999995</v>
      </c>
      <c r="K245" s="11">
        <v>8453.8950719999993</v>
      </c>
      <c r="L245" s="11">
        <v>7932.5373119999995</v>
      </c>
      <c r="M245" s="11">
        <v>7393.0110240000004</v>
      </c>
      <c r="N245" s="11">
        <v>6762.6420959999996</v>
      </c>
      <c r="O245" s="11">
        <v>6762.6420959999996</v>
      </c>
      <c r="P245" s="11">
        <v>9874.1999999999989</v>
      </c>
      <c r="Q245" s="11">
        <v>9874.1999999999989</v>
      </c>
      <c r="R245" s="11">
        <v>9874.1999999999989</v>
      </c>
      <c r="S245" s="11">
        <v>9874.1999999999989</v>
      </c>
      <c r="T245" s="11">
        <v>9536.8973279999991</v>
      </c>
      <c r="U245" s="11">
        <v>9237.5115839999999</v>
      </c>
    </row>
    <row r="246" spans="1:21" x14ac:dyDescent="0.25">
      <c r="A246" s="8">
        <v>245</v>
      </c>
      <c r="B246" s="8">
        <v>20.027100000000001</v>
      </c>
      <c r="C246" s="8">
        <v>85.1023</v>
      </c>
      <c r="D246" s="8" t="s">
        <v>7</v>
      </c>
      <c r="E246" s="8" t="s">
        <v>93</v>
      </c>
      <c r="F246" s="21">
        <v>4</v>
      </c>
      <c r="G246" s="8">
        <v>8810.5300000000007</v>
      </c>
      <c r="H246" s="11" t="s">
        <v>63</v>
      </c>
      <c r="I246" s="11">
        <v>3.75</v>
      </c>
      <c r="J246" s="11">
        <v>29788.401930000004</v>
      </c>
      <c r="K246" s="11">
        <v>28287.087618000001</v>
      </c>
      <c r="L246" s="11">
        <v>26542.602678000003</v>
      </c>
      <c r="M246" s="11">
        <v>24737.325081000003</v>
      </c>
      <c r="N246" s="11">
        <v>22628.084199000001</v>
      </c>
      <c r="O246" s="11">
        <v>22628.084199000001</v>
      </c>
      <c r="P246" s="11">
        <v>33039.487500000003</v>
      </c>
      <c r="Q246" s="11">
        <v>33039.487500000003</v>
      </c>
      <c r="R246" s="11">
        <v>33039.487500000003</v>
      </c>
      <c r="S246" s="11">
        <v>33039.487500000003</v>
      </c>
      <c r="T246" s="11">
        <v>31910.858607000002</v>
      </c>
      <c r="U246" s="11">
        <v>30909.101346000003</v>
      </c>
    </row>
    <row r="247" spans="1:21" x14ac:dyDescent="0.25">
      <c r="A247" s="8">
        <v>246</v>
      </c>
      <c r="B247" s="8">
        <v>20.03</v>
      </c>
      <c r="C247" s="8">
        <v>85.101299999999995</v>
      </c>
      <c r="D247" s="8" t="s">
        <v>7</v>
      </c>
      <c r="E247" s="8" t="s">
        <v>93</v>
      </c>
      <c r="F247" s="21">
        <v>4</v>
      </c>
      <c r="G247" s="8">
        <v>12278.69</v>
      </c>
      <c r="H247" s="11" t="s">
        <v>63</v>
      </c>
      <c r="I247" s="11">
        <v>3.75</v>
      </c>
      <c r="J247" s="11">
        <v>41514.250890000003</v>
      </c>
      <c r="K247" s="11">
        <v>39421.962114000002</v>
      </c>
      <c r="L247" s="11">
        <v>36990.781494000003</v>
      </c>
      <c r="M247" s="11">
        <v>34474.877913000004</v>
      </c>
      <c r="N247" s="11">
        <v>31535.359527000001</v>
      </c>
      <c r="O247" s="11">
        <v>31535.359527000001</v>
      </c>
      <c r="P247" s="11">
        <v>46045.087500000001</v>
      </c>
      <c r="Q247" s="11">
        <v>46045.087500000001</v>
      </c>
      <c r="R247" s="11">
        <v>46045.087500000001</v>
      </c>
      <c r="S247" s="11">
        <v>46045.087500000001</v>
      </c>
      <c r="T247" s="11">
        <v>44472.187311000002</v>
      </c>
      <c r="U247" s="11">
        <v>43076.100257999999</v>
      </c>
    </row>
    <row r="248" spans="1:21" x14ac:dyDescent="0.25">
      <c r="A248" s="8">
        <v>247</v>
      </c>
      <c r="B248" s="8">
        <v>20.032299999999999</v>
      </c>
      <c r="C248" s="8">
        <v>85.104799999999997</v>
      </c>
      <c r="D248" s="8" t="s">
        <v>7</v>
      </c>
      <c r="E248" s="8" t="s">
        <v>93</v>
      </c>
      <c r="F248" s="21">
        <v>3</v>
      </c>
      <c r="G248" s="8">
        <v>4675.3599999999997</v>
      </c>
      <c r="H248" s="11" t="s">
        <v>63</v>
      </c>
      <c r="I248" s="11">
        <v>2.75</v>
      </c>
      <c r="J248" s="11">
        <v>11132.032160000001</v>
      </c>
      <c r="K248" s="11">
        <v>10335.350815999998</v>
      </c>
      <c r="L248" s="11">
        <v>9409.6295359999986</v>
      </c>
      <c r="M248" s="11">
        <v>8451.6482720000004</v>
      </c>
      <c r="N248" s="11">
        <v>7332.367088</v>
      </c>
      <c r="O248" s="11">
        <v>7332.367088</v>
      </c>
      <c r="P248" s="11">
        <v>12857.24</v>
      </c>
      <c r="Q248" s="11">
        <v>12857.24</v>
      </c>
      <c r="R248" s="11">
        <v>12857.24</v>
      </c>
      <c r="S248" s="11">
        <v>12857.24</v>
      </c>
      <c r="T248" s="11">
        <v>12258.326384</v>
      </c>
      <c r="U248" s="11">
        <v>11726.737951999999</v>
      </c>
    </row>
    <row r="249" spans="1:21" x14ac:dyDescent="0.25">
      <c r="A249" s="8">
        <v>248</v>
      </c>
      <c r="B249" s="8">
        <v>20.032299999999999</v>
      </c>
      <c r="C249" s="8">
        <v>85.109200000000001</v>
      </c>
      <c r="D249" s="8" t="s">
        <v>7</v>
      </c>
      <c r="E249" s="8" t="s">
        <v>93</v>
      </c>
      <c r="F249" s="21">
        <v>3</v>
      </c>
      <c r="G249" s="8">
        <v>3974.62</v>
      </c>
      <c r="H249" s="11" t="s">
        <v>63</v>
      </c>
      <c r="I249" s="11">
        <v>2.75</v>
      </c>
      <c r="J249" s="11">
        <v>9463.5702200000014</v>
      </c>
      <c r="K249" s="11">
        <v>8786.2949719999997</v>
      </c>
      <c r="L249" s="11">
        <v>7999.3202119999996</v>
      </c>
      <c r="M249" s="11">
        <v>7184.9205739999998</v>
      </c>
      <c r="N249" s="11">
        <v>6233.3965459999999</v>
      </c>
      <c r="O249" s="11">
        <v>6233.3965459999999</v>
      </c>
      <c r="P249" s="11">
        <v>10930.205</v>
      </c>
      <c r="Q249" s="11">
        <v>10930.205</v>
      </c>
      <c r="R249" s="11">
        <v>10930.205</v>
      </c>
      <c r="S249" s="11">
        <v>10930.205</v>
      </c>
      <c r="T249" s="11">
        <v>10421.056178000001</v>
      </c>
      <c r="U249" s="11">
        <v>9969.1418840000006</v>
      </c>
    </row>
    <row r="250" spans="1:21" x14ac:dyDescent="0.25">
      <c r="A250" s="8">
        <v>249</v>
      </c>
      <c r="B250" s="8">
        <v>20.032499999999999</v>
      </c>
      <c r="C250" s="8">
        <v>85.115200000000002</v>
      </c>
      <c r="D250" s="8" t="s">
        <v>7</v>
      </c>
      <c r="E250" s="8" t="s">
        <v>93</v>
      </c>
      <c r="F250" s="21">
        <v>3.5</v>
      </c>
      <c r="G250" s="8">
        <v>5042.4799999999996</v>
      </c>
      <c r="H250" s="11" t="s">
        <v>63</v>
      </c>
      <c r="I250" s="11">
        <v>3.25</v>
      </c>
      <c r="J250" s="11">
        <v>14527.38488</v>
      </c>
      <c r="K250" s="11">
        <v>13668.146287999998</v>
      </c>
      <c r="L250" s="11">
        <v>12669.735247999999</v>
      </c>
      <c r="M250" s="11">
        <v>11636.531095999999</v>
      </c>
      <c r="N250" s="11">
        <v>10429.361383999998</v>
      </c>
      <c r="O250" s="11">
        <v>10429.361383999998</v>
      </c>
      <c r="P250" s="11">
        <v>16388.059999999998</v>
      </c>
      <c r="Q250" s="11">
        <v>16388.059999999998</v>
      </c>
      <c r="R250" s="11">
        <v>16388.059999999998</v>
      </c>
      <c r="S250" s="11">
        <v>16388.059999999998</v>
      </c>
      <c r="T250" s="11">
        <v>15742.118311999999</v>
      </c>
      <c r="U250" s="11">
        <v>15168.788335999998</v>
      </c>
    </row>
    <row r="251" spans="1:21" x14ac:dyDescent="0.25">
      <c r="A251" s="8">
        <v>250</v>
      </c>
      <c r="B251" s="8">
        <v>20.032599999999999</v>
      </c>
      <c r="C251" s="8">
        <v>85.118300000000005</v>
      </c>
      <c r="D251" s="8" t="s">
        <v>7</v>
      </c>
      <c r="E251" s="8" t="s">
        <v>93</v>
      </c>
      <c r="F251" s="21">
        <v>4</v>
      </c>
      <c r="G251" s="8">
        <v>2273.3200000000002</v>
      </c>
      <c r="H251" s="11" t="s">
        <v>63</v>
      </c>
      <c r="I251" s="11">
        <v>3.75</v>
      </c>
      <c r="J251" s="11">
        <v>7686.0949200000014</v>
      </c>
      <c r="K251" s="11">
        <v>7298.721192</v>
      </c>
      <c r="L251" s="11">
        <v>6848.6038320000007</v>
      </c>
      <c r="M251" s="11">
        <v>6382.800564000001</v>
      </c>
      <c r="N251" s="11">
        <v>5838.5677560000004</v>
      </c>
      <c r="O251" s="11">
        <v>5838.5677560000004</v>
      </c>
      <c r="P251" s="11">
        <v>8524.9500000000007</v>
      </c>
      <c r="Q251" s="11">
        <v>8524.9500000000007</v>
      </c>
      <c r="R251" s="11">
        <v>8524.9500000000007</v>
      </c>
      <c r="S251" s="11">
        <v>8524.9500000000007</v>
      </c>
      <c r="T251" s="11">
        <v>8233.7377080000006</v>
      </c>
      <c r="U251" s="11">
        <v>7975.2612240000008</v>
      </c>
    </row>
    <row r="252" spans="1:21" x14ac:dyDescent="0.25">
      <c r="A252" s="8">
        <v>251</v>
      </c>
      <c r="B252" s="8">
        <v>20.031500000000001</v>
      </c>
      <c r="C252" s="8">
        <v>85.12</v>
      </c>
      <c r="D252" s="8" t="s">
        <v>7</v>
      </c>
      <c r="E252" s="8" t="s">
        <v>93</v>
      </c>
      <c r="F252" s="21">
        <v>4</v>
      </c>
      <c r="G252" s="8">
        <v>5983.81</v>
      </c>
      <c r="H252" s="11" t="s">
        <v>63</v>
      </c>
      <c r="I252" s="11">
        <v>3.75</v>
      </c>
      <c r="J252" s="11">
        <v>20231.261610000001</v>
      </c>
      <c r="K252" s="11">
        <v>19211.620386000002</v>
      </c>
      <c r="L252" s="11">
        <v>18026.826005999999</v>
      </c>
      <c r="M252" s="11">
        <v>16800.743337</v>
      </c>
      <c r="N252" s="11">
        <v>15368.219223</v>
      </c>
      <c r="O252" s="11">
        <v>15368.219223</v>
      </c>
      <c r="P252" s="11">
        <v>22439.287500000002</v>
      </c>
      <c r="Q252" s="11">
        <v>22439.287500000002</v>
      </c>
      <c r="R252" s="11">
        <v>22439.287500000002</v>
      </c>
      <c r="S252" s="11">
        <v>22439.287500000002</v>
      </c>
      <c r="T252" s="11">
        <v>21672.761439000002</v>
      </c>
      <c r="U252" s="11">
        <v>20992.402242</v>
      </c>
    </row>
    <row r="253" spans="1:21" x14ac:dyDescent="0.25">
      <c r="A253" s="8">
        <v>252</v>
      </c>
      <c r="B253" s="8">
        <v>20.0322</v>
      </c>
      <c r="C253" s="8">
        <v>85.12</v>
      </c>
      <c r="D253" s="8" t="s">
        <v>7</v>
      </c>
      <c r="E253" s="8" t="s">
        <v>93</v>
      </c>
      <c r="F253" s="21">
        <v>3</v>
      </c>
      <c r="G253" s="8">
        <v>917.97</v>
      </c>
      <c r="H253" s="11" t="s">
        <v>63</v>
      </c>
      <c r="I253" s="11">
        <v>2.75</v>
      </c>
      <c r="J253" s="11">
        <v>2185.6865700000003</v>
      </c>
      <c r="K253" s="11">
        <v>2029.264482</v>
      </c>
      <c r="L253" s="11">
        <v>1847.5064219999999</v>
      </c>
      <c r="M253" s="11">
        <v>1659.4143690000001</v>
      </c>
      <c r="N253" s="11">
        <v>1439.6523510000002</v>
      </c>
      <c r="O253" s="11">
        <v>1439.6523510000002</v>
      </c>
      <c r="P253" s="11">
        <v>2524.4175</v>
      </c>
      <c r="Q253" s="11">
        <v>2524.4175</v>
      </c>
      <c r="R253" s="11">
        <v>2524.4175</v>
      </c>
      <c r="S253" s="11">
        <v>2524.4175</v>
      </c>
      <c r="T253" s="11">
        <v>2406.8255430000004</v>
      </c>
      <c r="U253" s="11">
        <v>2302.452354</v>
      </c>
    </row>
    <row r="254" spans="1:21" x14ac:dyDescent="0.25">
      <c r="A254" s="8">
        <v>253</v>
      </c>
      <c r="B254" s="8">
        <v>20.028300000000002</v>
      </c>
      <c r="C254" s="8">
        <v>85.120599999999996</v>
      </c>
      <c r="D254" s="8" t="s">
        <v>7</v>
      </c>
      <c r="E254" s="8" t="s">
        <v>93</v>
      </c>
      <c r="F254" s="21">
        <v>3</v>
      </c>
      <c r="G254" s="8">
        <v>3690.95</v>
      </c>
      <c r="H254" s="11" t="s">
        <v>63</v>
      </c>
      <c r="I254" s="11">
        <v>2.75</v>
      </c>
      <c r="J254" s="11">
        <v>8788.1519500000013</v>
      </c>
      <c r="K254" s="11">
        <v>8159.2140699999991</v>
      </c>
      <c r="L254" s="11">
        <v>7428.4059699999998</v>
      </c>
      <c r="M254" s="11">
        <v>6672.1303150000003</v>
      </c>
      <c r="N254" s="11">
        <v>5788.516885</v>
      </c>
      <c r="O254" s="11">
        <v>5788.516885</v>
      </c>
      <c r="P254" s="11">
        <v>10150.112499999999</v>
      </c>
      <c r="Q254" s="11">
        <v>10150.112499999999</v>
      </c>
      <c r="R254" s="11">
        <v>10150.112499999999</v>
      </c>
      <c r="S254" s="11">
        <v>10150.112499999999</v>
      </c>
      <c r="T254" s="11">
        <v>9677.3018049999991</v>
      </c>
      <c r="U254" s="11">
        <v>9257.6407899999995</v>
      </c>
    </row>
    <row r="255" spans="1:21" x14ac:dyDescent="0.25">
      <c r="A255" s="8">
        <v>254</v>
      </c>
      <c r="B255" s="8">
        <v>20.027699999999999</v>
      </c>
      <c r="C255" s="8">
        <v>85.120599999999996</v>
      </c>
      <c r="D255" s="8" t="s">
        <v>7</v>
      </c>
      <c r="E255" s="8" t="s">
        <v>93</v>
      </c>
      <c r="F255" s="21">
        <v>3</v>
      </c>
      <c r="G255" s="8">
        <v>735.19</v>
      </c>
      <c r="H255" s="11" t="s">
        <v>63</v>
      </c>
      <c r="I255" s="11">
        <v>2.75</v>
      </c>
      <c r="J255" s="11">
        <v>1750.4873900000002</v>
      </c>
      <c r="K255" s="11">
        <v>1625.211014</v>
      </c>
      <c r="L255" s="11">
        <v>1479.6433940000002</v>
      </c>
      <c r="M255" s="11">
        <v>1329.0029630000001</v>
      </c>
      <c r="N255" s="11">
        <v>1152.9984770000001</v>
      </c>
      <c r="O255" s="11">
        <v>1152.9984770000001</v>
      </c>
      <c r="P255" s="11">
        <v>2021.7725</v>
      </c>
      <c r="Q255" s="11">
        <v>2021.7725</v>
      </c>
      <c r="R255" s="11">
        <v>2021.7725</v>
      </c>
      <c r="S255" s="11">
        <v>2021.7725</v>
      </c>
      <c r="T255" s="11">
        <v>1927.5946610000003</v>
      </c>
      <c r="U255" s="11">
        <v>1844.0035580000001</v>
      </c>
    </row>
    <row r="256" spans="1:21" x14ac:dyDescent="0.25">
      <c r="A256" s="8">
        <v>255</v>
      </c>
      <c r="B256" s="8">
        <v>20.0276</v>
      </c>
      <c r="C256" s="8">
        <v>85.1203</v>
      </c>
      <c r="D256" s="8" t="s">
        <v>7</v>
      </c>
      <c r="E256" s="8" t="s">
        <v>93</v>
      </c>
      <c r="F256" s="21">
        <v>3</v>
      </c>
      <c r="G256" s="8">
        <v>1606.96</v>
      </c>
      <c r="H256" s="11" t="s">
        <v>63</v>
      </c>
      <c r="I256" s="11">
        <v>2.75</v>
      </c>
      <c r="J256" s="11">
        <v>3826.1717600000006</v>
      </c>
      <c r="K256" s="11">
        <v>3552.3457760000001</v>
      </c>
      <c r="L256" s="11">
        <v>3234.167696</v>
      </c>
      <c r="M256" s="11">
        <v>2904.9015920000002</v>
      </c>
      <c r="N256" s="11">
        <v>2520.1953680000001</v>
      </c>
      <c r="O256" s="11">
        <v>2520.1953680000001</v>
      </c>
      <c r="P256" s="11">
        <v>4419.1400000000003</v>
      </c>
      <c r="Q256" s="11">
        <v>4419.1400000000003</v>
      </c>
      <c r="R256" s="11">
        <v>4419.1400000000003</v>
      </c>
      <c r="S256" s="11">
        <v>4419.1400000000003</v>
      </c>
      <c r="T256" s="11">
        <v>4213.2884240000003</v>
      </c>
      <c r="U256" s="11">
        <v>4030.577072</v>
      </c>
    </row>
    <row r="257" spans="1:21" x14ac:dyDescent="0.25">
      <c r="A257" s="8">
        <v>256</v>
      </c>
      <c r="B257" s="8">
        <v>20.032399999999999</v>
      </c>
      <c r="C257" s="8">
        <v>85.121600000000001</v>
      </c>
      <c r="D257" s="8" t="s">
        <v>7</v>
      </c>
      <c r="E257" s="8" t="s">
        <v>93</v>
      </c>
      <c r="F257" s="21">
        <v>3</v>
      </c>
      <c r="G257" s="8">
        <v>1804.52</v>
      </c>
      <c r="H257" s="11" t="s">
        <v>61</v>
      </c>
      <c r="I257" s="11">
        <v>2.75</v>
      </c>
      <c r="J257" s="11">
        <v>4296.5621200000005</v>
      </c>
      <c r="K257" s="11">
        <v>3989.0719119999999</v>
      </c>
      <c r="L257" s="11">
        <v>3631.7769519999997</v>
      </c>
      <c r="M257" s="11">
        <v>3262.030804</v>
      </c>
      <c r="N257" s="11">
        <v>2830.0287159999998</v>
      </c>
      <c r="O257" s="11">
        <v>2830.0287159999998</v>
      </c>
      <c r="P257" s="11">
        <v>4962.43</v>
      </c>
      <c r="Q257" s="11">
        <v>4962.43</v>
      </c>
      <c r="R257" s="11">
        <v>4962.43</v>
      </c>
      <c r="S257" s="11">
        <v>4962.43</v>
      </c>
      <c r="T257" s="11">
        <v>4731.2709880000002</v>
      </c>
      <c r="U257" s="11">
        <v>4526.0970639999996</v>
      </c>
    </row>
    <row r="258" spans="1:21" x14ac:dyDescent="0.25">
      <c r="A258" s="8">
        <v>257</v>
      </c>
      <c r="B258" s="8">
        <v>20.036799999999999</v>
      </c>
      <c r="C258" s="8">
        <v>85.118799999999993</v>
      </c>
      <c r="D258" s="8" t="s">
        <v>7</v>
      </c>
      <c r="E258" s="8" t="s">
        <v>93</v>
      </c>
      <c r="F258" s="21">
        <v>4</v>
      </c>
      <c r="G258" s="8">
        <v>3390.84</v>
      </c>
      <c r="H258" s="11" t="s">
        <v>61</v>
      </c>
      <c r="I258" s="11">
        <v>3.75</v>
      </c>
      <c r="J258" s="11">
        <v>11464.430040000001</v>
      </c>
      <c r="K258" s="11">
        <v>10886.630904</v>
      </c>
      <c r="L258" s="11">
        <v>10215.244584</v>
      </c>
      <c r="M258" s="11">
        <v>9520.4614680000013</v>
      </c>
      <c r="N258" s="11">
        <v>8708.6943719999999</v>
      </c>
      <c r="O258" s="11">
        <v>8708.6943719999999</v>
      </c>
      <c r="P258" s="11">
        <v>12715.650000000001</v>
      </c>
      <c r="Q258" s="11">
        <v>12715.650000000001</v>
      </c>
      <c r="R258" s="11">
        <v>12715.650000000001</v>
      </c>
      <c r="S258" s="11">
        <v>12715.650000000001</v>
      </c>
      <c r="T258" s="11">
        <v>12281.283396000001</v>
      </c>
      <c r="U258" s="11">
        <v>11895.744888000001</v>
      </c>
    </row>
    <row r="259" spans="1:21" x14ac:dyDescent="0.25">
      <c r="A259" s="8">
        <v>258</v>
      </c>
      <c r="B259" s="8">
        <v>20.043299999999999</v>
      </c>
      <c r="C259" s="8">
        <v>85.123599999999996</v>
      </c>
      <c r="D259" s="8" t="s">
        <v>7</v>
      </c>
      <c r="E259" s="8" t="s">
        <v>93</v>
      </c>
      <c r="F259" s="21">
        <v>4</v>
      </c>
      <c r="G259" s="8">
        <v>6520.01</v>
      </c>
      <c r="H259" s="11" t="s">
        <v>61</v>
      </c>
      <c r="I259" s="11">
        <v>3.75</v>
      </c>
      <c r="J259" s="11">
        <v>22044.153810000003</v>
      </c>
      <c r="K259" s="11">
        <v>20933.144106</v>
      </c>
      <c r="L259" s="11">
        <v>19642.182126</v>
      </c>
      <c r="M259" s="11">
        <v>18306.232077000001</v>
      </c>
      <c r="N259" s="11">
        <v>16745.341682999999</v>
      </c>
      <c r="O259" s="11">
        <v>16745.341682999999</v>
      </c>
      <c r="P259" s="11">
        <v>24450.037500000002</v>
      </c>
      <c r="Q259" s="11">
        <v>24450.037500000002</v>
      </c>
      <c r="R259" s="11">
        <v>24450.037500000002</v>
      </c>
      <c r="S259" s="11">
        <v>24450.037500000002</v>
      </c>
      <c r="T259" s="11">
        <v>23614.824219000002</v>
      </c>
      <c r="U259" s="11">
        <v>22873.499082000002</v>
      </c>
    </row>
    <row r="260" spans="1:21" x14ac:dyDescent="0.25">
      <c r="A260" s="8">
        <v>259</v>
      </c>
      <c r="B260" s="8">
        <v>20.043800000000001</v>
      </c>
      <c r="C260" s="8">
        <v>85.125200000000007</v>
      </c>
      <c r="D260" s="8" t="s">
        <v>7</v>
      </c>
      <c r="E260" s="8" t="s">
        <v>93</v>
      </c>
      <c r="F260" s="21">
        <v>2</v>
      </c>
      <c r="G260" s="8">
        <v>2467.36</v>
      </c>
      <c r="H260" s="11" t="s">
        <v>61</v>
      </c>
      <c r="I260" s="11">
        <v>1.75</v>
      </c>
      <c r="J260" s="11">
        <v>3407.42416</v>
      </c>
      <c r="K260" s="11">
        <v>2986.9860159999998</v>
      </c>
      <c r="L260" s="11">
        <v>2498.4487359999998</v>
      </c>
      <c r="M260" s="11">
        <v>1992.8866720000001</v>
      </c>
      <c r="N260" s="11">
        <v>1402.2006880000001</v>
      </c>
      <c r="O260" s="11">
        <v>1402.2006880000001</v>
      </c>
      <c r="P260" s="11">
        <v>4317.88</v>
      </c>
      <c r="Q260" s="11">
        <v>4317.88</v>
      </c>
      <c r="R260" s="11">
        <v>4317.88</v>
      </c>
      <c r="S260" s="11">
        <v>4317.88</v>
      </c>
      <c r="T260" s="11">
        <v>4001.8111840000006</v>
      </c>
      <c r="U260" s="11">
        <v>3721.272352</v>
      </c>
    </row>
    <row r="261" spans="1:21" x14ac:dyDescent="0.25">
      <c r="A261" s="8">
        <v>260</v>
      </c>
      <c r="B261" s="8">
        <v>20.041399999999999</v>
      </c>
      <c r="C261" s="8">
        <v>85.127700000000004</v>
      </c>
      <c r="D261" s="8" t="s">
        <v>7</v>
      </c>
      <c r="E261" s="8" t="s">
        <v>93</v>
      </c>
      <c r="F261" s="21">
        <v>3</v>
      </c>
      <c r="G261" s="8">
        <v>7564.58</v>
      </c>
      <c r="H261" s="11" t="s">
        <v>61</v>
      </c>
      <c r="I261" s="11">
        <v>2.75</v>
      </c>
      <c r="J261" s="11">
        <v>18011.26498</v>
      </c>
      <c r="K261" s="11">
        <v>16722.260547999998</v>
      </c>
      <c r="L261" s="11">
        <v>15224.473708</v>
      </c>
      <c r="M261" s="11">
        <v>13674.491266000001</v>
      </c>
      <c r="N261" s="11">
        <v>11863.530814</v>
      </c>
      <c r="O261" s="11">
        <v>11863.530814</v>
      </c>
      <c r="P261" s="11">
        <v>20802.595000000001</v>
      </c>
      <c r="Q261" s="11">
        <v>20802.595000000001</v>
      </c>
      <c r="R261" s="11">
        <v>20802.595000000001</v>
      </c>
      <c r="S261" s="11">
        <v>20802.595000000001</v>
      </c>
      <c r="T261" s="11">
        <v>19833.572302</v>
      </c>
      <c r="U261" s="11">
        <v>18973.479555999998</v>
      </c>
    </row>
    <row r="262" spans="1:21" x14ac:dyDescent="0.25">
      <c r="A262" s="8">
        <v>261</v>
      </c>
      <c r="B262" s="8">
        <v>20.0428</v>
      </c>
      <c r="C262" s="8">
        <v>85.126800000000003</v>
      </c>
      <c r="D262" s="8" t="s">
        <v>7</v>
      </c>
      <c r="E262" s="8" t="s">
        <v>93</v>
      </c>
      <c r="F262" s="21">
        <v>2</v>
      </c>
      <c r="G262" s="8">
        <v>1402.35</v>
      </c>
      <c r="H262" s="11" t="s">
        <v>61</v>
      </c>
      <c r="I262" s="11">
        <v>1.75</v>
      </c>
      <c r="J262" s="11">
        <v>1936.6453499999998</v>
      </c>
      <c r="K262" s="11">
        <v>1697.6849099999997</v>
      </c>
      <c r="L262" s="11">
        <v>1420.0196099999998</v>
      </c>
      <c r="M262" s="11">
        <v>1132.678095</v>
      </c>
      <c r="N262" s="11">
        <v>796.95550500000002</v>
      </c>
      <c r="O262" s="11">
        <v>796.95550500000002</v>
      </c>
      <c r="P262" s="11">
        <v>2454.1124999999997</v>
      </c>
      <c r="Q262" s="11">
        <v>2454.1124999999997</v>
      </c>
      <c r="R262" s="11">
        <v>2454.1124999999997</v>
      </c>
      <c r="S262" s="11">
        <v>2454.1124999999997</v>
      </c>
      <c r="T262" s="11">
        <v>2274.4714650000001</v>
      </c>
      <c r="U262" s="11">
        <v>2115.0242699999999</v>
      </c>
    </row>
    <row r="263" spans="1:21" x14ac:dyDescent="0.25">
      <c r="A263" s="8">
        <v>262</v>
      </c>
      <c r="B263" s="8">
        <v>20.048300000000001</v>
      </c>
      <c r="C263" s="8">
        <v>85.134200000000007</v>
      </c>
      <c r="D263" s="8" t="s">
        <v>7</v>
      </c>
      <c r="E263" s="8" t="s">
        <v>93</v>
      </c>
      <c r="F263" s="21">
        <v>3</v>
      </c>
      <c r="G263" s="8">
        <v>10991.71</v>
      </c>
      <c r="H263" s="11" t="s">
        <v>61</v>
      </c>
      <c r="I263" s="11">
        <v>2.75</v>
      </c>
      <c r="J263" s="11">
        <v>26171.26151</v>
      </c>
      <c r="K263" s="11">
        <v>24298.274125999997</v>
      </c>
      <c r="L263" s="11">
        <v>22121.915545999997</v>
      </c>
      <c r="M263" s="11">
        <v>19869.714166999998</v>
      </c>
      <c r="N263" s="11">
        <v>17238.298792999998</v>
      </c>
      <c r="O263" s="11">
        <v>17238.298792999998</v>
      </c>
      <c r="P263" s="11">
        <v>30227.202499999999</v>
      </c>
      <c r="Q263" s="11">
        <v>30227.202499999999</v>
      </c>
      <c r="R263" s="11">
        <v>30227.202499999999</v>
      </c>
      <c r="S263" s="11">
        <v>30227.202499999999</v>
      </c>
      <c r="T263" s="11">
        <v>28819.164449</v>
      </c>
      <c r="U263" s="11">
        <v>27569.407021999999</v>
      </c>
    </row>
    <row r="264" spans="1:21" x14ac:dyDescent="0.25">
      <c r="A264" s="8">
        <v>263</v>
      </c>
      <c r="B264" s="8">
        <v>20.039000000000001</v>
      </c>
      <c r="C264" s="8">
        <v>85.134699999999995</v>
      </c>
      <c r="D264" s="8" t="s">
        <v>7</v>
      </c>
      <c r="E264" s="8" t="s">
        <v>93</v>
      </c>
      <c r="F264" s="21">
        <v>2</v>
      </c>
      <c r="G264" s="8">
        <v>2149.75</v>
      </c>
      <c r="H264" s="11" t="s">
        <v>61</v>
      </c>
      <c r="I264" s="11">
        <v>1.75</v>
      </c>
      <c r="J264" s="11">
        <v>2968.8047499999998</v>
      </c>
      <c r="K264" s="11">
        <v>2602.4873499999999</v>
      </c>
      <c r="L264" s="11">
        <v>2176.8368499999997</v>
      </c>
      <c r="M264" s="11">
        <v>1736.353075</v>
      </c>
      <c r="N264" s="11">
        <v>1221.7029250000001</v>
      </c>
      <c r="O264" s="11">
        <v>1221.7029250000001</v>
      </c>
      <c r="P264" s="11">
        <v>3762.0625</v>
      </c>
      <c r="Q264" s="11">
        <v>3762.0625</v>
      </c>
      <c r="R264" s="11">
        <v>3762.0625</v>
      </c>
      <c r="S264" s="11">
        <v>3762.0625</v>
      </c>
      <c r="T264" s="11">
        <v>3486.6795250000005</v>
      </c>
      <c r="U264" s="11">
        <v>3242.2529500000001</v>
      </c>
    </row>
    <row r="265" spans="1:21" x14ac:dyDescent="0.25">
      <c r="A265" s="8">
        <v>264</v>
      </c>
      <c r="B265" s="8">
        <v>20.0474</v>
      </c>
      <c r="C265" s="8">
        <v>85.131299999999996</v>
      </c>
      <c r="D265" s="8" t="s">
        <v>7</v>
      </c>
      <c r="E265" s="8" t="s">
        <v>93</v>
      </c>
      <c r="F265" s="21">
        <v>2</v>
      </c>
      <c r="G265" s="8">
        <v>9033.7000000000007</v>
      </c>
      <c r="H265" s="11" t="s">
        <v>61</v>
      </c>
      <c r="I265" s="11">
        <v>1.75</v>
      </c>
      <c r="J265" s="11">
        <v>12475.539700000001</v>
      </c>
      <c r="K265" s="11">
        <v>10936.19722</v>
      </c>
      <c r="L265" s="11">
        <v>9147.5246200000001</v>
      </c>
      <c r="M265" s="11">
        <v>7296.5194900000006</v>
      </c>
      <c r="N265" s="11">
        <v>5133.8517100000008</v>
      </c>
      <c r="O265" s="11">
        <v>5133.8517100000008</v>
      </c>
      <c r="P265" s="11">
        <v>15808.975000000002</v>
      </c>
      <c r="Q265" s="11">
        <v>15808.975000000002</v>
      </c>
      <c r="R265" s="11">
        <v>15808.975000000002</v>
      </c>
      <c r="S265" s="11">
        <v>15808.975000000002</v>
      </c>
      <c r="T265" s="11">
        <v>14651.758030000003</v>
      </c>
      <c r="U265" s="11">
        <v>13624.626340000001</v>
      </c>
    </row>
    <row r="266" spans="1:21" x14ac:dyDescent="0.25">
      <c r="A266" s="8">
        <v>265</v>
      </c>
      <c r="B266" s="8">
        <v>20.049199999999999</v>
      </c>
      <c r="C266" s="8">
        <v>85.141300000000001</v>
      </c>
      <c r="D266" s="8" t="s">
        <v>7</v>
      </c>
      <c r="E266" s="8" t="s">
        <v>93</v>
      </c>
      <c r="F266" s="21">
        <v>2</v>
      </c>
      <c r="G266" s="8">
        <v>7909.18</v>
      </c>
      <c r="H266" s="11" t="s">
        <v>61</v>
      </c>
      <c r="I266" s="11">
        <v>1.75</v>
      </c>
      <c r="J266" s="11">
        <v>10922.577580000001</v>
      </c>
      <c r="K266" s="11">
        <v>9574.8533079999997</v>
      </c>
      <c r="L266" s="11">
        <v>8008.8356679999997</v>
      </c>
      <c r="M266" s="11">
        <v>6388.244686</v>
      </c>
      <c r="N266" s="11">
        <v>4494.786994</v>
      </c>
      <c r="O266" s="11">
        <v>4494.786994</v>
      </c>
      <c r="P266" s="11">
        <v>13841.065000000001</v>
      </c>
      <c r="Q266" s="11">
        <v>13841.065000000001</v>
      </c>
      <c r="R266" s="11">
        <v>13841.065000000001</v>
      </c>
      <c r="S266" s="11">
        <v>13841.065000000001</v>
      </c>
      <c r="T266" s="11">
        <v>12827.899042000001</v>
      </c>
      <c r="U266" s="11">
        <v>11928.625276000001</v>
      </c>
    </row>
    <row r="267" spans="1:21" x14ac:dyDescent="0.25">
      <c r="A267" s="8">
        <v>266</v>
      </c>
      <c r="B267" s="8">
        <v>20.053699999999999</v>
      </c>
      <c r="C267" s="8">
        <v>85.1417</v>
      </c>
      <c r="D267" s="8" t="s">
        <v>7</v>
      </c>
      <c r="E267" s="8" t="s">
        <v>93</v>
      </c>
      <c r="F267" s="21">
        <v>2</v>
      </c>
      <c r="G267" s="8">
        <v>4243.91</v>
      </c>
      <c r="H267" s="11" t="s">
        <v>61</v>
      </c>
      <c r="I267" s="11">
        <v>1.75</v>
      </c>
      <c r="J267" s="11">
        <v>5860.8397100000002</v>
      </c>
      <c r="K267" s="11">
        <v>5137.6774459999997</v>
      </c>
      <c r="L267" s="11">
        <v>4297.3832659999998</v>
      </c>
      <c r="M267" s="11">
        <v>3427.8061069999999</v>
      </c>
      <c r="N267" s="11">
        <v>2411.8140530000001</v>
      </c>
      <c r="O267" s="11">
        <v>2411.8140530000001</v>
      </c>
      <c r="P267" s="11">
        <v>7426.8424999999997</v>
      </c>
      <c r="Q267" s="11">
        <v>7426.8424999999997</v>
      </c>
      <c r="R267" s="11">
        <v>7426.8424999999997</v>
      </c>
      <c r="S267" s="11">
        <v>7426.8424999999997</v>
      </c>
      <c r="T267" s="11">
        <v>6883.1976290000002</v>
      </c>
      <c r="U267" s="11">
        <v>6400.665062</v>
      </c>
    </row>
    <row r="268" spans="1:21" x14ac:dyDescent="0.25">
      <c r="A268" s="8">
        <v>267</v>
      </c>
      <c r="B268" s="8">
        <v>20.0579</v>
      </c>
      <c r="C268" s="8">
        <v>85.152100000000004</v>
      </c>
      <c r="D268" s="8" t="s">
        <v>7</v>
      </c>
      <c r="E268" s="8" t="s">
        <v>93</v>
      </c>
      <c r="F268" s="21">
        <v>4</v>
      </c>
      <c r="G268" s="8">
        <v>472.47</v>
      </c>
      <c r="H268" s="11" t="s">
        <v>61</v>
      </c>
      <c r="I268" s="11">
        <v>3.75</v>
      </c>
      <c r="J268" s="11">
        <v>1597.4210700000001</v>
      </c>
      <c r="K268" s="11">
        <v>1516.912182</v>
      </c>
      <c r="L268" s="11">
        <v>1423.363122</v>
      </c>
      <c r="M268" s="11">
        <v>1326.5540190000002</v>
      </c>
      <c r="N268" s="11">
        <v>1213.4447009999999</v>
      </c>
      <c r="O268" s="11">
        <v>1213.4447009999999</v>
      </c>
      <c r="P268" s="11">
        <v>1771.7625</v>
      </c>
      <c r="Q268" s="11">
        <v>1771.7625</v>
      </c>
      <c r="R268" s="11">
        <v>1771.7625</v>
      </c>
      <c r="S268" s="11">
        <v>1771.7625</v>
      </c>
      <c r="T268" s="11">
        <v>1711.2390930000001</v>
      </c>
      <c r="U268" s="11">
        <v>1657.519254</v>
      </c>
    </row>
    <row r="269" spans="1:21" x14ac:dyDescent="0.25">
      <c r="A269" s="8">
        <v>268</v>
      </c>
      <c r="B269" s="8">
        <v>20.0593</v>
      </c>
      <c r="C269" s="8">
        <v>85.154399999999995</v>
      </c>
      <c r="D269" s="8" t="s">
        <v>7</v>
      </c>
      <c r="E269" s="8" t="s">
        <v>93</v>
      </c>
      <c r="F269" s="21">
        <v>4</v>
      </c>
      <c r="G269" s="8">
        <v>3268.31</v>
      </c>
      <c r="H269" s="11" t="s">
        <v>61</v>
      </c>
      <c r="I269" s="11">
        <v>3.75</v>
      </c>
      <c r="J269" s="11">
        <v>11050.15611</v>
      </c>
      <c r="K269" s="11">
        <v>10493.236085999999</v>
      </c>
      <c r="L269" s="11">
        <v>9846.1107059999995</v>
      </c>
      <c r="M269" s="11">
        <v>9176.4339870000003</v>
      </c>
      <c r="N269" s="11">
        <v>8394.0005729999993</v>
      </c>
      <c r="O269" s="11">
        <v>8394.0005729999993</v>
      </c>
      <c r="P269" s="11">
        <v>12256.1625</v>
      </c>
      <c r="Q269" s="11">
        <v>12256.1625</v>
      </c>
      <c r="R269" s="11">
        <v>12256.1625</v>
      </c>
      <c r="S269" s="11">
        <v>12256.1625</v>
      </c>
      <c r="T269" s="11">
        <v>11837.491989</v>
      </c>
      <c r="U269" s="11">
        <v>11465.885141999999</v>
      </c>
    </row>
    <row r="270" spans="1:21" x14ac:dyDescent="0.25">
      <c r="A270" s="8">
        <v>269</v>
      </c>
      <c r="B270" s="8">
        <v>20.062100000000001</v>
      </c>
      <c r="C270" s="8">
        <v>85.158299999999997</v>
      </c>
      <c r="D270" s="8" t="s">
        <v>7</v>
      </c>
      <c r="E270" s="8" t="s">
        <v>93</v>
      </c>
      <c r="F270" s="21">
        <v>4</v>
      </c>
      <c r="G270" s="8">
        <v>1721.74</v>
      </c>
      <c r="H270" s="11" t="s">
        <v>61</v>
      </c>
      <c r="I270" s="11">
        <v>3.75</v>
      </c>
      <c r="J270" s="11">
        <v>5821.2029400000001</v>
      </c>
      <c r="K270" s="11">
        <v>5527.8184439999995</v>
      </c>
      <c r="L270" s="11">
        <v>5186.9139239999995</v>
      </c>
      <c r="M270" s="11">
        <v>4834.129398</v>
      </c>
      <c r="N270" s="11">
        <v>4421.9448419999999</v>
      </c>
      <c r="O270" s="11">
        <v>4421.9448419999999</v>
      </c>
      <c r="P270" s="11">
        <v>6456.5249999999996</v>
      </c>
      <c r="Q270" s="11">
        <v>6456.5249999999996</v>
      </c>
      <c r="R270" s="11">
        <v>6456.5249999999996</v>
      </c>
      <c r="S270" s="11">
        <v>6456.5249999999996</v>
      </c>
      <c r="T270" s="11">
        <v>6235.9701060000007</v>
      </c>
      <c r="U270" s="11">
        <v>6040.2082680000003</v>
      </c>
    </row>
    <row r="271" spans="1:21" x14ac:dyDescent="0.25">
      <c r="A271" s="8">
        <v>270</v>
      </c>
      <c r="B271" s="8">
        <v>20.064699999999998</v>
      </c>
      <c r="C271" s="8">
        <v>85.162199999999999</v>
      </c>
      <c r="D271" s="8" t="s">
        <v>7</v>
      </c>
      <c r="E271" s="8" t="s">
        <v>93</v>
      </c>
      <c r="F271" s="21">
        <v>2</v>
      </c>
      <c r="G271" s="8">
        <v>574.84</v>
      </c>
      <c r="H271" s="11" t="s">
        <v>61</v>
      </c>
      <c r="I271" s="11">
        <v>1.75</v>
      </c>
      <c r="J271" s="11">
        <v>793.85404000000005</v>
      </c>
      <c r="K271" s="11">
        <v>695.90130399999998</v>
      </c>
      <c r="L271" s="11">
        <v>582.08298400000001</v>
      </c>
      <c r="M271" s="11">
        <v>464.29826800000001</v>
      </c>
      <c r="N271" s="11">
        <v>326.68157200000002</v>
      </c>
      <c r="O271" s="11">
        <v>326.68157200000002</v>
      </c>
      <c r="P271" s="11">
        <v>1005.97</v>
      </c>
      <c r="Q271" s="11">
        <v>1005.97</v>
      </c>
      <c r="R271" s="11">
        <v>1005.97</v>
      </c>
      <c r="S271" s="11">
        <v>1005.97</v>
      </c>
      <c r="T271" s="11">
        <v>932.33299600000009</v>
      </c>
      <c r="U271" s="11">
        <v>866.97368800000004</v>
      </c>
    </row>
    <row r="272" spans="1:21" x14ac:dyDescent="0.25">
      <c r="A272" s="8">
        <v>271</v>
      </c>
      <c r="B272" s="8">
        <v>20.066700000000001</v>
      </c>
      <c r="C272" s="8">
        <v>85.163200000000003</v>
      </c>
      <c r="D272" s="8" t="s">
        <v>7</v>
      </c>
      <c r="E272" s="8" t="s">
        <v>93</v>
      </c>
      <c r="F272" s="21">
        <v>4</v>
      </c>
      <c r="G272" s="8">
        <v>9539.08</v>
      </c>
      <c r="H272" s="11" t="s">
        <v>61</v>
      </c>
      <c r="I272" s="11">
        <v>3.75</v>
      </c>
      <c r="J272" s="11">
        <v>32251.629480000003</v>
      </c>
      <c r="K272" s="11">
        <v>30626.170247999999</v>
      </c>
      <c r="L272" s="11">
        <v>28737.432408000001</v>
      </c>
      <c r="M272" s="11">
        <v>26782.874916000001</v>
      </c>
      <c r="N272" s="11">
        <v>24499.219163999998</v>
      </c>
      <c r="O272" s="11">
        <v>24499.219163999998</v>
      </c>
      <c r="P272" s="11">
        <v>35771.550000000003</v>
      </c>
      <c r="Q272" s="11">
        <v>35771.550000000003</v>
      </c>
      <c r="R272" s="11">
        <v>35771.550000000003</v>
      </c>
      <c r="S272" s="11">
        <v>35771.550000000003</v>
      </c>
      <c r="T272" s="11">
        <v>34549.593851999998</v>
      </c>
      <c r="U272" s="11">
        <v>33465.000456000002</v>
      </c>
    </row>
    <row r="273" spans="1:21" x14ac:dyDescent="0.25">
      <c r="A273" s="8">
        <v>272</v>
      </c>
      <c r="B273" s="8">
        <v>20.007899999999999</v>
      </c>
      <c r="C273" s="8">
        <v>84.971299999999999</v>
      </c>
      <c r="D273" s="8" t="s">
        <v>7</v>
      </c>
      <c r="E273" s="8" t="s">
        <v>93</v>
      </c>
      <c r="F273" s="21">
        <v>2</v>
      </c>
      <c r="G273" s="8">
        <v>554.70000000000005</v>
      </c>
      <c r="H273" s="11" t="s">
        <v>126</v>
      </c>
      <c r="I273" s="11">
        <v>1.75</v>
      </c>
      <c r="J273" s="11">
        <v>766.04070000000002</v>
      </c>
      <c r="K273" s="11">
        <v>671.51981999999998</v>
      </c>
      <c r="L273" s="11">
        <v>561.68921999999998</v>
      </c>
      <c r="M273" s="11">
        <v>448.03119000000004</v>
      </c>
      <c r="N273" s="11">
        <v>315.23601000000002</v>
      </c>
      <c r="O273" s="11">
        <v>315.23601000000002</v>
      </c>
      <c r="P273" s="11">
        <v>970.72500000000014</v>
      </c>
      <c r="Q273" s="11">
        <v>970.72500000000014</v>
      </c>
      <c r="R273" s="11">
        <v>970.72500000000014</v>
      </c>
      <c r="S273" s="11">
        <v>970.72500000000014</v>
      </c>
      <c r="T273" s="11">
        <v>899.66793000000018</v>
      </c>
      <c r="U273" s="11">
        <v>836.59854000000007</v>
      </c>
    </row>
    <row r="274" spans="1:21" x14ac:dyDescent="0.25">
      <c r="A274" s="8">
        <v>273</v>
      </c>
      <c r="B274" s="8">
        <v>20.0336</v>
      </c>
      <c r="C274" s="8">
        <v>84.9619</v>
      </c>
      <c r="D274" s="8" t="s">
        <v>7</v>
      </c>
      <c r="E274" s="8" t="s">
        <v>93</v>
      </c>
      <c r="F274" s="21">
        <v>2.5</v>
      </c>
      <c r="G274" s="8">
        <v>1216.56</v>
      </c>
      <c r="H274" s="11" t="s">
        <v>126</v>
      </c>
      <c r="I274" s="11">
        <v>2.25</v>
      </c>
      <c r="J274" s="11">
        <v>2288.3493599999997</v>
      </c>
      <c r="K274" s="11">
        <v>2081.0475359999996</v>
      </c>
      <c r="L274" s="11">
        <v>1840.1686559999998</v>
      </c>
      <c r="M274" s="11">
        <v>1590.8955120000001</v>
      </c>
      <c r="N274" s="11">
        <v>1299.6510479999999</v>
      </c>
      <c r="O274" s="11">
        <v>1299.6510479999999</v>
      </c>
      <c r="P274" s="11">
        <v>2737.2599999999998</v>
      </c>
      <c r="Q274" s="11">
        <v>2737.2599999999998</v>
      </c>
      <c r="R274" s="11">
        <v>2737.2599999999998</v>
      </c>
      <c r="S274" s="11">
        <v>2737.2599999999998</v>
      </c>
      <c r="T274" s="11">
        <v>2581.4186639999998</v>
      </c>
      <c r="U274" s="11">
        <v>2443.0957920000001</v>
      </c>
    </row>
    <row r="275" spans="1:21" x14ac:dyDescent="0.25">
      <c r="A275" s="8">
        <v>274</v>
      </c>
      <c r="B275" s="8">
        <v>20.0334</v>
      </c>
      <c r="C275" s="8">
        <v>84.97</v>
      </c>
      <c r="D275" s="8" t="s">
        <v>7</v>
      </c>
      <c r="E275" s="8" t="s">
        <v>93</v>
      </c>
      <c r="F275" s="21">
        <v>3</v>
      </c>
      <c r="G275" s="8">
        <v>4255.91</v>
      </c>
      <c r="H275" s="11" t="s">
        <v>126</v>
      </c>
      <c r="I275" s="11">
        <v>2.75</v>
      </c>
      <c r="J275" s="11">
        <v>10133.32171</v>
      </c>
      <c r="K275" s="11">
        <v>9408.114646</v>
      </c>
      <c r="L275" s="11">
        <v>8565.444465999999</v>
      </c>
      <c r="M275" s="11">
        <v>7693.4085070000001</v>
      </c>
      <c r="N275" s="11">
        <v>6674.5436529999997</v>
      </c>
      <c r="O275" s="11">
        <v>6674.5436529999997</v>
      </c>
      <c r="P275" s="11">
        <v>11703.752499999999</v>
      </c>
      <c r="Q275" s="11">
        <v>11703.752499999999</v>
      </c>
      <c r="R275" s="11">
        <v>11703.752499999999</v>
      </c>
      <c r="S275" s="11">
        <v>11703.752499999999</v>
      </c>
      <c r="T275" s="11">
        <v>11158.570428999999</v>
      </c>
      <c r="U275" s="11">
        <v>10674.673461999999</v>
      </c>
    </row>
    <row r="276" spans="1:21" x14ac:dyDescent="0.25">
      <c r="A276" s="8">
        <v>275</v>
      </c>
      <c r="B276" s="8">
        <v>20.032900000000001</v>
      </c>
      <c r="C276" s="8">
        <v>84.977599999999995</v>
      </c>
      <c r="D276" s="8" t="s">
        <v>7</v>
      </c>
      <c r="E276" s="8" t="s">
        <v>93</v>
      </c>
      <c r="F276" s="21">
        <v>2</v>
      </c>
      <c r="G276" s="8">
        <v>140.15</v>
      </c>
      <c r="H276" s="11" t="s">
        <v>55</v>
      </c>
      <c r="I276" s="11">
        <v>1.75</v>
      </c>
      <c r="J276" s="11">
        <v>193.54715000000002</v>
      </c>
      <c r="K276" s="11">
        <v>169.66558999999998</v>
      </c>
      <c r="L276" s="11">
        <v>141.91588999999999</v>
      </c>
      <c r="M276" s="11">
        <v>113.199155</v>
      </c>
      <c r="N276" s="11">
        <v>79.647245000000012</v>
      </c>
      <c r="O276" s="11">
        <v>79.647245000000012</v>
      </c>
      <c r="P276" s="11">
        <v>245.26250000000002</v>
      </c>
      <c r="Q276" s="11">
        <v>245.26250000000002</v>
      </c>
      <c r="R276" s="11">
        <v>245.26250000000002</v>
      </c>
      <c r="S276" s="11">
        <v>245.26250000000002</v>
      </c>
      <c r="T276" s="11">
        <v>227.30928500000002</v>
      </c>
      <c r="U276" s="11">
        <v>211.37423000000001</v>
      </c>
    </row>
    <row r="277" spans="1:21" x14ac:dyDescent="0.25">
      <c r="A277" s="8">
        <v>276</v>
      </c>
      <c r="B277" s="8">
        <v>20.059000000000001</v>
      </c>
      <c r="C277" s="8">
        <v>85.026399999999995</v>
      </c>
      <c r="D277" s="8" t="s">
        <v>7</v>
      </c>
      <c r="E277" s="8" t="s">
        <v>93</v>
      </c>
      <c r="F277" s="21">
        <v>3</v>
      </c>
      <c r="G277" s="8">
        <v>4324.63</v>
      </c>
      <c r="H277" s="11" t="s">
        <v>62</v>
      </c>
      <c r="I277" s="11">
        <v>2.75</v>
      </c>
      <c r="J277" s="11">
        <v>10296.944030000001</v>
      </c>
      <c r="K277" s="11">
        <v>9560.0270779999992</v>
      </c>
      <c r="L277" s="11">
        <v>8703.7503379999998</v>
      </c>
      <c r="M277" s="11">
        <v>7817.633651000001</v>
      </c>
      <c r="N277" s="11">
        <v>6782.3172290000002</v>
      </c>
      <c r="O277" s="11">
        <v>6782.3172290000002</v>
      </c>
      <c r="P277" s="11">
        <v>11892.7325</v>
      </c>
      <c r="Q277" s="11">
        <v>11892.7325</v>
      </c>
      <c r="R277" s="11">
        <v>11892.7325</v>
      </c>
      <c r="S277" s="11">
        <v>11892.7325</v>
      </c>
      <c r="T277" s="11">
        <v>11338.747397000001</v>
      </c>
      <c r="U277" s="11">
        <v>10847.036966</v>
      </c>
    </row>
    <row r="278" spans="1:21" x14ac:dyDescent="0.25">
      <c r="A278" s="8">
        <v>277</v>
      </c>
      <c r="B278" s="8">
        <v>20.053799999999999</v>
      </c>
      <c r="C278" s="8">
        <v>85.031700000000001</v>
      </c>
      <c r="D278" s="8" t="s">
        <v>7</v>
      </c>
      <c r="E278" s="8" t="s">
        <v>93</v>
      </c>
      <c r="F278" s="21">
        <v>2</v>
      </c>
      <c r="G278" s="8">
        <v>612.29</v>
      </c>
      <c r="H278" s="11" t="s">
        <v>62</v>
      </c>
      <c r="I278" s="11">
        <v>1.75</v>
      </c>
      <c r="J278" s="11">
        <v>845.5724899999999</v>
      </c>
      <c r="K278" s="11">
        <v>741.23827399999993</v>
      </c>
      <c r="L278" s="11">
        <v>620.00485399999991</v>
      </c>
      <c r="M278" s="11">
        <v>494.54663299999993</v>
      </c>
      <c r="N278" s="11">
        <v>347.96440699999999</v>
      </c>
      <c r="O278" s="11">
        <v>347.96440699999999</v>
      </c>
      <c r="P278" s="11">
        <v>1071.5074999999999</v>
      </c>
      <c r="Q278" s="11">
        <v>1071.5074999999999</v>
      </c>
      <c r="R278" s="11">
        <v>1071.5074999999999</v>
      </c>
      <c r="S278" s="11">
        <v>1071.5074999999999</v>
      </c>
      <c r="T278" s="11">
        <v>993.07315100000005</v>
      </c>
      <c r="U278" s="11">
        <v>923.4557779999999</v>
      </c>
    </row>
    <row r="279" spans="1:21" x14ac:dyDescent="0.25">
      <c r="A279" s="8">
        <v>278</v>
      </c>
      <c r="B279" s="8">
        <v>20.024100000000001</v>
      </c>
      <c r="C279" s="8">
        <v>85.108699999999999</v>
      </c>
      <c r="D279" s="8" t="s">
        <v>7</v>
      </c>
      <c r="E279" s="8" t="s">
        <v>93</v>
      </c>
      <c r="F279" s="21">
        <v>3</v>
      </c>
      <c r="G279" s="8">
        <v>2903.95</v>
      </c>
      <c r="H279" s="11" t="s">
        <v>63</v>
      </c>
      <c r="I279" s="11">
        <v>2.75</v>
      </c>
      <c r="J279" s="11">
        <v>6914.3049500000006</v>
      </c>
      <c r="K279" s="11">
        <v>6419.4718699999994</v>
      </c>
      <c r="L279" s="11">
        <v>5844.4897699999992</v>
      </c>
      <c r="M279" s="11">
        <v>5249.4704149999998</v>
      </c>
      <c r="N279" s="11">
        <v>4554.2647849999994</v>
      </c>
      <c r="O279" s="11">
        <v>4554.2647849999994</v>
      </c>
      <c r="P279" s="11">
        <v>7985.8624999999993</v>
      </c>
      <c r="Q279" s="11">
        <v>7985.8624999999993</v>
      </c>
      <c r="R279" s="11">
        <v>7985.8624999999993</v>
      </c>
      <c r="S279" s="11">
        <v>7985.8624999999993</v>
      </c>
      <c r="T279" s="11">
        <v>7613.866505</v>
      </c>
      <c r="U279" s="11">
        <v>7283.6873899999991</v>
      </c>
    </row>
    <row r="280" spans="1:21" x14ac:dyDescent="0.25">
      <c r="A280" s="8">
        <v>279</v>
      </c>
      <c r="B280" s="8">
        <v>20.051100000000002</v>
      </c>
      <c r="C280" s="8">
        <v>85.146000000000001</v>
      </c>
      <c r="D280" s="8" t="s">
        <v>7</v>
      </c>
      <c r="E280" s="8" t="s">
        <v>93</v>
      </c>
      <c r="F280" s="21">
        <v>2</v>
      </c>
      <c r="G280" s="8">
        <v>263.58</v>
      </c>
      <c r="H280" s="11" t="s">
        <v>61</v>
      </c>
      <c r="I280" s="11">
        <v>1.75</v>
      </c>
      <c r="J280" s="11">
        <v>364.00397999999996</v>
      </c>
      <c r="K280" s="11">
        <v>319.08994799999994</v>
      </c>
      <c r="L280" s="11">
        <v>266.90110799999997</v>
      </c>
      <c r="M280" s="11">
        <v>212.89356599999999</v>
      </c>
      <c r="N280" s="11">
        <v>149.79251400000001</v>
      </c>
      <c r="O280" s="11">
        <v>149.79251400000001</v>
      </c>
      <c r="P280" s="11">
        <v>461.26499999999999</v>
      </c>
      <c r="Q280" s="11">
        <v>461.26499999999999</v>
      </c>
      <c r="R280" s="11">
        <v>461.26499999999999</v>
      </c>
      <c r="S280" s="11">
        <v>461.26499999999999</v>
      </c>
      <c r="T280" s="11">
        <v>427.50040200000001</v>
      </c>
      <c r="U280" s="11">
        <v>397.53135599999996</v>
      </c>
    </row>
    <row r="281" spans="1:21" x14ac:dyDescent="0.25">
      <c r="A281" s="8">
        <v>280</v>
      </c>
      <c r="B281" s="8">
        <v>20.051300000000001</v>
      </c>
      <c r="C281" s="8">
        <v>85.146299999999997</v>
      </c>
      <c r="D281" s="8" t="s">
        <v>7</v>
      </c>
      <c r="E281" s="8" t="s">
        <v>93</v>
      </c>
      <c r="F281" s="21">
        <v>2</v>
      </c>
      <c r="G281" s="8">
        <v>407.06</v>
      </c>
      <c r="H281" s="11" t="s">
        <v>61</v>
      </c>
      <c r="I281" s="11">
        <v>1.75</v>
      </c>
      <c r="J281" s="11">
        <v>562.14985999999999</v>
      </c>
      <c r="K281" s="11">
        <v>492.78683599999994</v>
      </c>
      <c r="L281" s="11">
        <v>412.18895599999996</v>
      </c>
      <c r="M281" s="11">
        <v>328.78236199999998</v>
      </c>
      <c r="N281" s="11">
        <v>231.33219800000001</v>
      </c>
      <c r="O281" s="11">
        <v>231.33219800000001</v>
      </c>
      <c r="P281" s="11">
        <v>712.35500000000002</v>
      </c>
      <c r="Q281" s="11">
        <v>712.35500000000002</v>
      </c>
      <c r="R281" s="11">
        <v>712.35500000000002</v>
      </c>
      <c r="S281" s="11">
        <v>712.35500000000002</v>
      </c>
      <c r="T281" s="11">
        <v>660.21061400000008</v>
      </c>
      <c r="U281" s="11">
        <v>613.92789200000004</v>
      </c>
    </row>
    <row r="282" spans="1:21" x14ac:dyDescent="0.25">
      <c r="A282" s="8">
        <v>281</v>
      </c>
      <c r="B282" s="8">
        <v>20.052299999999999</v>
      </c>
      <c r="C282" s="8">
        <v>85.143699999999995</v>
      </c>
      <c r="D282" s="8" t="s">
        <v>7</v>
      </c>
      <c r="E282" s="8" t="s">
        <v>93</v>
      </c>
      <c r="F282" s="21">
        <v>2</v>
      </c>
      <c r="G282" s="8">
        <v>773.85</v>
      </c>
      <c r="H282" s="11" t="s">
        <v>61</v>
      </c>
      <c r="I282" s="11">
        <v>1.75</v>
      </c>
      <c r="J282" s="11">
        <v>1068.68685</v>
      </c>
      <c r="K282" s="11">
        <v>936.82281</v>
      </c>
      <c r="L282" s="11">
        <v>783.60050999999999</v>
      </c>
      <c r="M282" s="11">
        <v>625.03864499999997</v>
      </c>
      <c r="N282" s="11">
        <v>439.77895500000005</v>
      </c>
      <c r="O282" s="11">
        <v>439.77895500000005</v>
      </c>
      <c r="P282" s="11">
        <v>1354.2375</v>
      </c>
      <c r="Q282" s="11">
        <v>1354.2375</v>
      </c>
      <c r="R282" s="11">
        <v>1354.2375</v>
      </c>
      <c r="S282" s="11">
        <v>1354.2375</v>
      </c>
      <c r="T282" s="11">
        <v>1255.1073150000002</v>
      </c>
      <c r="U282" s="11">
        <v>1167.12057</v>
      </c>
    </row>
    <row r="283" spans="1:21" x14ac:dyDescent="0.25">
      <c r="A283" s="8">
        <v>282</v>
      </c>
      <c r="B283" s="8">
        <v>20.0336</v>
      </c>
      <c r="C283" s="8">
        <v>85.086799999999997</v>
      </c>
      <c r="D283" s="8" t="s">
        <v>7</v>
      </c>
      <c r="E283" s="8" t="s">
        <v>93</v>
      </c>
      <c r="F283" s="21">
        <v>4</v>
      </c>
      <c r="G283" s="8">
        <v>579.34</v>
      </c>
      <c r="H283" s="11" t="s">
        <v>54</v>
      </c>
      <c r="I283" s="11">
        <v>3.75</v>
      </c>
      <c r="J283" s="11">
        <v>1958.7485400000003</v>
      </c>
      <c r="K283" s="11">
        <v>1860.029004</v>
      </c>
      <c r="L283" s="11">
        <v>1745.3196840000001</v>
      </c>
      <c r="M283" s="11">
        <v>1626.612918</v>
      </c>
      <c r="N283" s="11">
        <v>1487.9189220000001</v>
      </c>
      <c r="O283" s="11">
        <v>1487.9189220000001</v>
      </c>
      <c r="P283" s="11">
        <v>2172.5250000000001</v>
      </c>
      <c r="Q283" s="11">
        <v>2172.5250000000001</v>
      </c>
      <c r="R283" s="11">
        <v>2172.5250000000001</v>
      </c>
      <c r="S283" s="11">
        <v>2172.5250000000001</v>
      </c>
      <c r="T283" s="11">
        <v>2098.3115460000004</v>
      </c>
      <c r="U283" s="11">
        <v>2032.4405880000002</v>
      </c>
    </row>
    <row r="284" spans="1:21" x14ac:dyDescent="0.25">
      <c r="A284" s="8">
        <v>283</v>
      </c>
      <c r="B284" s="8">
        <v>20.020099999999999</v>
      </c>
      <c r="C284" s="8">
        <v>85.066500000000005</v>
      </c>
      <c r="D284" s="8" t="s">
        <v>7</v>
      </c>
      <c r="E284" s="8" t="s">
        <v>93</v>
      </c>
      <c r="F284" s="21">
        <v>3</v>
      </c>
      <c r="G284" s="8">
        <v>1809.96</v>
      </c>
      <c r="H284" s="11" t="s">
        <v>59</v>
      </c>
      <c r="I284" s="11">
        <v>2.75</v>
      </c>
      <c r="J284" s="11">
        <v>4309.5147600000009</v>
      </c>
      <c r="K284" s="11">
        <v>4001.0975760000001</v>
      </c>
      <c r="L284" s="11">
        <v>3642.725496</v>
      </c>
      <c r="M284" s="11">
        <v>3271.8646920000001</v>
      </c>
      <c r="N284" s="11">
        <v>2838.5602680000002</v>
      </c>
      <c r="O284" s="11">
        <v>2838.5602680000002</v>
      </c>
      <c r="P284" s="11">
        <v>4977.3900000000003</v>
      </c>
      <c r="Q284" s="11">
        <v>4977.3900000000003</v>
      </c>
      <c r="R284" s="11">
        <v>4977.3900000000003</v>
      </c>
      <c r="S284" s="11">
        <v>4977.3900000000003</v>
      </c>
      <c r="T284" s="11">
        <v>4745.5341240000007</v>
      </c>
      <c r="U284" s="11">
        <v>4539.7416720000001</v>
      </c>
    </row>
    <row r="285" spans="1:21" x14ac:dyDescent="0.25">
      <c r="A285" s="8">
        <v>284</v>
      </c>
      <c r="B285" s="8">
        <v>20.03829</v>
      </c>
      <c r="C285" s="8">
        <v>84.978359999999995</v>
      </c>
      <c r="D285" s="8" t="s">
        <v>94</v>
      </c>
      <c r="E285" s="8" t="s">
        <v>66</v>
      </c>
      <c r="F285" s="21">
        <v>0.5</v>
      </c>
      <c r="G285" s="8">
        <v>348.21050000000002</v>
      </c>
      <c r="H285" s="11" t="s">
        <v>55</v>
      </c>
      <c r="I285" s="11">
        <v>0.25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87.052625000000006</v>
      </c>
      <c r="Q285" s="11">
        <v>87.052625000000006</v>
      </c>
      <c r="R285" s="11">
        <v>87.052625000000006</v>
      </c>
      <c r="S285" s="11">
        <v>87.052625000000006</v>
      </c>
      <c r="T285" s="11">
        <v>42.446859950000004</v>
      </c>
      <c r="U285" s="11">
        <v>2.8553260999999952</v>
      </c>
    </row>
    <row r="286" spans="1:21" x14ac:dyDescent="0.25">
      <c r="A286" s="8">
        <v>285</v>
      </c>
      <c r="B286" s="8">
        <v>20.02627</v>
      </c>
      <c r="C286" s="8">
        <v>85.106560000000002</v>
      </c>
      <c r="D286" s="8" t="s">
        <v>94</v>
      </c>
      <c r="E286" s="8" t="s">
        <v>41</v>
      </c>
      <c r="F286" s="21">
        <v>1.5</v>
      </c>
      <c r="G286" s="8">
        <v>6612.8860000000004</v>
      </c>
      <c r="H286" s="11" t="s">
        <v>63</v>
      </c>
      <c r="I286" s="11">
        <v>1.25</v>
      </c>
      <c r="J286" s="11">
        <v>5825.9525660000008</v>
      </c>
      <c r="K286" s="11">
        <v>4699.1167916000004</v>
      </c>
      <c r="L286" s="11">
        <v>3389.7653636</v>
      </c>
      <c r="M286" s="11">
        <v>2034.7850222</v>
      </c>
      <c r="N286" s="11">
        <v>451.6601138000002</v>
      </c>
      <c r="O286" s="11">
        <v>451.6601138000002</v>
      </c>
      <c r="P286" s="11">
        <v>8266.1075000000001</v>
      </c>
      <c r="Q286" s="11">
        <v>8266.1075000000001</v>
      </c>
      <c r="R286" s="11">
        <v>8266.1075000000001</v>
      </c>
      <c r="S286" s="11">
        <v>8266.1075000000001</v>
      </c>
      <c r="T286" s="11">
        <v>7418.9968034000012</v>
      </c>
      <c r="U286" s="11">
        <v>6667.1116652000001</v>
      </c>
    </row>
    <row r="287" spans="1:21" x14ac:dyDescent="0.25">
      <c r="A287" s="8">
        <v>286</v>
      </c>
      <c r="B287" s="8">
        <v>20.016660000000002</v>
      </c>
      <c r="C287" s="8">
        <v>85.004230000000007</v>
      </c>
      <c r="D287" s="8" t="s">
        <v>94</v>
      </c>
      <c r="E287" s="8" t="s">
        <v>36</v>
      </c>
      <c r="F287" s="21">
        <v>1</v>
      </c>
      <c r="G287" s="8">
        <v>623.87940000000003</v>
      </c>
      <c r="H287" s="11" t="s">
        <v>60</v>
      </c>
      <c r="I287" s="11">
        <v>0.75</v>
      </c>
      <c r="J287" s="11">
        <v>237.69805140000003</v>
      </c>
      <c r="K287" s="11">
        <v>131.38900164</v>
      </c>
      <c r="L287" s="11">
        <v>7.8608804399999661</v>
      </c>
      <c r="M287" s="11">
        <v>0</v>
      </c>
      <c r="N287" s="11">
        <v>0</v>
      </c>
      <c r="O287" s="11">
        <v>0</v>
      </c>
      <c r="P287" s="11">
        <v>467.90955000000002</v>
      </c>
      <c r="Q287" s="11">
        <v>467.90955000000002</v>
      </c>
      <c r="R287" s="11">
        <v>467.90955000000002</v>
      </c>
      <c r="S287" s="11">
        <v>467.90955000000002</v>
      </c>
      <c r="T287" s="11">
        <v>387.99059886000003</v>
      </c>
      <c r="U287" s="11">
        <v>317.05551108000003</v>
      </c>
    </row>
    <row r="288" spans="1:21" x14ac:dyDescent="0.25">
      <c r="A288" s="8">
        <v>287</v>
      </c>
      <c r="B288" s="8">
        <v>20.005880000000001</v>
      </c>
      <c r="C288" s="8">
        <v>84.973089999999999</v>
      </c>
      <c r="D288" s="8" t="s">
        <v>94</v>
      </c>
      <c r="E288" s="8" t="s">
        <v>74</v>
      </c>
      <c r="F288" s="21">
        <v>1</v>
      </c>
      <c r="G288" s="8">
        <v>647.45860000000005</v>
      </c>
      <c r="H288" s="11" t="s">
        <v>55</v>
      </c>
      <c r="I288" s="11">
        <v>0.75</v>
      </c>
      <c r="J288" s="11">
        <v>246.68172660000002</v>
      </c>
      <c r="K288" s="11">
        <v>136.35478116000002</v>
      </c>
      <c r="L288" s="11">
        <v>8.157978359999964</v>
      </c>
      <c r="M288" s="11">
        <v>0</v>
      </c>
      <c r="N288" s="11">
        <v>0</v>
      </c>
      <c r="O288" s="11">
        <v>0</v>
      </c>
      <c r="P288" s="11">
        <v>485.59395000000006</v>
      </c>
      <c r="Q288" s="11">
        <v>485.59395000000006</v>
      </c>
      <c r="R288" s="11">
        <v>485.59395000000006</v>
      </c>
      <c r="S288" s="11">
        <v>485.59395000000006</v>
      </c>
      <c r="T288" s="11">
        <v>402.65450334000002</v>
      </c>
      <c r="U288" s="11">
        <v>329.03846052</v>
      </c>
    </row>
    <row r="289" spans="1:21" x14ac:dyDescent="0.25">
      <c r="A289" s="8">
        <v>288</v>
      </c>
      <c r="B289" s="8">
        <v>20.025569999999998</v>
      </c>
      <c r="C289" s="8">
        <v>85.008189999999999</v>
      </c>
      <c r="D289" s="8" t="s">
        <v>94</v>
      </c>
      <c r="E289" s="8" t="s">
        <v>67</v>
      </c>
      <c r="F289" s="21">
        <v>1</v>
      </c>
      <c r="G289" s="8">
        <v>678.81650000000002</v>
      </c>
      <c r="H289" s="11" t="s">
        <v>60</v>
      </c>
      <c r="I289" s="11">
        <v>0.75</v>
      </c>
      <c r="J289" s="11">
        <v>258.62908650000003</v>
      </c>
      <c r="K289" s="11">
        <v>142.9587549</v>
      </c>
      <c r="L289" s="11">
        <v>8.5530878999999622</v>
      </c>
      <c r="M289" s="11">
        <v>0</v>
      </c>
      <c r="N289" s="11">
        <v>0</v>
      </c>
      <c r="O289" s="11">
        <v>0</v>
      </c>
      <c r="P289" s="11">
        <v>509.11237500000004</v>
      </c>
      <c r="Q289" s="11">
        <v>509.11237500000004</v>
      </c>
      <c r="R289" s="11">
        <v>509.11237500000004</v>
      </c>
      <c r="S289" s="11">
        <v>509.11237500000004</v>
      </c>
      <c r="T289" s="11">
        <v>422.15598134999999</v>
      </c>
      <c r="U289" s="11">
        <v>344.97454529999999</v>
      </c>
    </row>
    <row r="290" spans="1:21" x14ac:dyDescent="0.25">
      <c r="A290" s="8">
        <v>289</v>
      </c>
      <c r="B290" s="8">
        <v>20.011310000000002</v>
      </c>
      <c r="C290" s="8">
        <v>84.975880000000004</v>
      </c>
      <c r="D290" s="8" t="s">
        <v>94</v>
      </c>
      <c r="E290" s="8" t="s">
        <v>68</v>
      </c>
      <c r="F290" s="21">
        <v>0.5</v>
      </c>
      <c r="G290" s="8">
        <v>346.65390000000002</v>
      </c>
      <c r="H290" s="11" t="s">
        <v>55</v>
      </c>
      <c r="I290" s="11">
        <v>0.25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86.663475000000005</v>
      </c>
      <c r="Q290" s="11">
        <v>86.663475000000005</v>
      </c>
      <c r="R290" s="11">
        <v>86.663475000000005</v>
      </c>
      <c r="S290" s="11">
        <v>86.663475000000005</v>
      </c>
      <c r="T290" s="11">
        <v>42.257110410000003</v>
      </c>
      <c r="U290" s="11">
        <v>2.8425619799999948</v>
      </c>
    </row>
    <row r="291" spans="1:21" x14ac:dyDescent="0.25">
      <c r="A291" s="8">
        <v>290</v>
      </c>
      <c r="B291" s="8">
        <v>20.029969999999999</v>
      </c>
      <c r="C291" s="8">
        <v>84.980469999999997</v>
      </c>
      <c r="D291" s="8" t="s">
        <v>94</v>
      </c>
      <c r="E291" s="8" t="s">
        <v>69</v>
      </c>
      <c r="F291" s="21">
        <v>0.5</v>
      </c>
      <c r="G291" s="8">
        <v>179.35079999999999</v>
      </c>
      <c r="H291" s="11" t="s">
        <v>55</v>
      </c>
      <c r="I291" s="11">
        <v>0.25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44.837699999999998</v>
      </c>
      <c r="Q291" s="11">
        <v>44.837699999999998</v>
      </c>
      <c r="R291" s="11">
        <v>44.837699999999998</v>
      </c>
      <c r="S291" s="11">
        <v>44.837699999999998</v>
      </c>
      <c r="T291" s="11">
        <v>21.86286252</v>
      </c>
      <c r="U291" s="11">
        <v>1.4706765599999974</v>
      </c>
    </row>
    <row r="292" spans="1:21" x14ac:dyDescent="0.25">
      <c r="A292" s="8">
        <v>291</v>
      </c>
      <c r="B292" s="8">
        <v>20.022839999999999</v>
      </c>
      <c r="C292" s="8">
        <v>85.049030000000002</v>
      </c>
      <c r="D292" s="8" t="s">
        <v>94</v>
      </c>
      <c r="E292" s="8" t="s">
        <v>70</v>
      </c>
      <c r="F292" s="21">
        <v>0.3</v>
      </c>
      <c r="G292" s="8">
        <v>56.44811</v>
      </c>
      <c r="H292" s="11" t="s">
        <v>59</v>
      </c>
      <c r="I292" s="11">
        <v>4.9999999999999989E-2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2.8224054999999995</v>
      </c>
      <c r="Q292" s="11">
        <v>2.8224054999999995</v>
      </c>
      <c r="R292" s="11">
        <v>2.8224054999999995</v>
      </c>
      <c r="S292" s="11">
        <v>2.8224054999999995</v>
      </c>
      <c r="T292" s="11">
        <v>0</v>
      </c>
      <c r="U292" s="11">
        <v>0</v>
      </c>
    </row>
    <row r="293" spans="1:21" x14ac:dyDescent="0.25">
      <c r="A293" s="8">
        <v>292</v>
      </c>
      <c r="B293" s="8">
        <v>20.05452</v>
      </c>
      <c r="C293" s="8">
        <v>85.102549999999994</v>
      </c>
      <c r="D293" s="8" t="s">
        <v>94</v>
      </c>
      <c r="E293" s="8" t="s">
        <v>37</v>
      </c>
      <c r="F293" s="21">
        <v>0.5</v>
      </c>
      <c r="G293" s="8">
        <v>1580.1210000000001</v>
      </c>
      <c r="H293" s="11" t="s">
        <v>53</v>
      </c>
      <c r="I293" s="11">
        <v>0.25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395.03025000000002</v>
      </c>
      <c r="Q293" s="11">
        <v>395.03025000000002</v>
      </c>
      <c r="R293" s="11">
        <v>395.03025000000002</v>
      </c>
      <c r="S293" s="11">
        <v>395.03025000000002</v>
      </c>
      <c r="T293" s="11">
        <v>192.61674990000003</v>
      </c>
      <c r="U293" s="11">
        <v>12.956992199999977</v>
      </c>
    </row>
    <row r="294" spans="1:21" x14ac:dyDescent="0.25">
      <c r="A294" s="8">
        <v>293</v>
      </c>
      <c r="B294" s="8">
        <v>20.036449999999999</v>
      </c>
      <c r="C294" s="8">
        <v>84.982380000000006</v>
      </c>
      <c r="D294" s="8" t="s">
        <v>94</v>
      </c>
      <c r="E294" s="8" t="s">
        <v>71</v>
      </c>
      <c r="F294" s="21">
        <v>1.5</v>
      </c>
      <c r="G294" s="8">
        <v>504.90719999999999</v>
      </c>
      <c r="H294" s="11" t="s">
        <v>55</v>
      </c>
      <c r="I294" s="11">
        <v>1.25</v>
      </c>
      <c r="J294" s="11">
        <v>444.82324319999998</v>
      </c>
      <c r="K294" s="11">
        <v>358.78705631999998</v>
      </c>
      <c r="L294" s="11">
        <v>258.81543071999994</v>
      </c>
      <c r="M294" s="11">
        <v>155.35994543999999</v>
      </c>
      <c r="N294" s="11">
        <v>34.485161760000011</v>
      </c>
      <c r="O294" s="11">
        <v>34.485161760000011</v>
      </c>
      <c r="P294" s="11">
        <v>631.13400000000001</v>
      </c>
      <c r="Q294" s="11">
        <v>631.13400000000001</v>
      </c>
      <c r="R294" s="11">
        <v>631.13400000000001</v>
      </c>
      <c r="S294" s="11">
        <v>631.13400000000001</v>
      </c>
      <c r="T294" s="11">
        <v>566.45538768000006</v>
      </c>
      <c r="U294" s="11">
        <v>509.04743903999997</v>
      </c>
    </row>
    <row r="295" spans="1:21" x14ac:dyDescent="0.25">
      <c r="A295" s="8">
        <v>294</v>
      </c>
      <c r="B295" s="8">
        <v>20.030259999999998</v>
      </c>
      <c r="C295" s="8">
        <v>84.992859999999993</v>
      </c>
      <c r="D295" s="8" t="s">
        <v>94</v>
      </c>
      <c r="E295" s="8" t="s">
        <v>72</v>
      </c>
      <c r="F295" s="21">
        <v>1</v>
      </c>
      <c r="G295" s="8">
        <v>1435.2550000000001</v>
      </c>
      <c r="H295" s="11" t="s">
        <v>57</v>
      </c>
      <c r="I295" s="11">
        <v>0.75</v>
      </c>
      <c r="J295" s="11">
        <v>546.83215500000006</v>
      </c>
      <c r="K295" s="11">
        <v>302.26470300000005</v>
      </c>
      <c r="L295" s="11">
        <v>18.08421299999992</v>
      </c>
      <c r="M295" s="11">
        <v>0</v>
      </c>
      <c r="N295" s="11">
        <v>0</v>
      </c>
      <c r="O295" s="11">
        <v>0</v>
      </c>
      <c r="P295" s="11">
        <v>1076.4412500000001</v>
      </c>
      <c r="Q295" s="11">
        <v>1076.4412500000001</v>
      </c>
      <c r="R295" s="11">
        <v>1076.4412500000001</v>
      </c>
      <c r="S295" s="11">
        <v>1076.4412500000001</v>
      </c>
      <c r="T295" s="11">
        <v>892.58508450000011</v>
      </c>
      <c r="U295" s="11">
        <v>729.39659100000006</v>
      </c>
    </row>
    <row r="296" spans="1:21" x14ac:dyDescent="0.25">
      <c r="A296">
        <v>295</v>
      </c>
      <c r="B296">
        <v>20.04514</v>
      </c>
      <c r="C296">
        <v>85.035550000000001</v>
      </c>
      <c r="D296" t="s">
        <v>94</v>
      </c>
      <c r="E296" t="s">
        <v>73</v>
      </c>
      <c r="F296">
        <v>1</v>
      </c>
      <c r="G296">
        <v>316.96080000000001</v>
      </c>
      <c r="H296" t="s">
        <v>62</v>
      </c>
      <c r="I296">
        <v>0.75</v>
      </c>
      <c r="J296">
        <v>120.7620648</v>
      </c>
      <c r="K296">
        <v>66.751944480000006</v>
      </c>
      <c r="L296">
        <v>3.9937060799999826</v>
      </c>
      <c r="M296">
        <v>0</v>
      </c>
      <c r="N296">
        <v>0</v>
      </c>
      <c r="O296">
        <v>0</v>
      </c>
      <c r="P296">
        <v>237.72059999999999</v>
      </c>
      <c r="Q296">
        <v>237.72059999999999</v>
      </c>
      <c r="R296">
        <v>237.72059999999999</v>
      </c>
      <c r="S296">
        <v>237.72059999999999</v>
      </c>
      <c r="T296">
        <v>197.11792152000001</v>
      </c>
      <c r="U296">
        <v>161.07947856000001</v>
      </c>
    </row>
  </sheetData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B0DC-640A-4992-82FE-CF975D5CF38D}">
  <dimension ref="A1:K157"/>
  <sheetViews>
    <sheetView topLeftCell="A70" workbookViewId="0">
      <selection activeCell="I7" sqref="I7"/>
    </sheetView>
  </sheetViews>
  <sheetFormatPr defaultRowHeight="15" x14ac:dyDescent="0.25"/>
  <cols>
    <col min="1" max="1" width="12.140625" style="2" bestFit="1" customWidth="1"/>
    <col min="2" max="2" width="12" style="2" bestFit="1" customWidth="1"/>
    <col min="3" max="3" width="11" style="2" bestFit="1" customWidth="1"/>
    <col min="4" max="4" width="10" style="2" bestFit="1" customWidth="1"/>
    <col min="5" max="5" width="9.28515625" style="2" bestFit="1" customWidth="1"/>
    <col min="6" max="6" width="9.5703125" style="2" bestFit="1" customWidth="1"/>
    <col min="7" max="7" width="11" style="2" bestFit="1" customWidth="1"/>
    <col min="8" max="8" width="11.7109375" style="2" bestFit="1" customWidth="1"/>
    <col min="9" max="9" width="11" style="2" bestFit="1" customWidth="1"/>
    <col min="10" max="11" width="6" style="2" bestFit="1" customWidth="1"/>
    <col min="12" max="16384" width="9.140625" style="2"/>
  </cols>
  <sheetData>
    <row r="1" spans="1:11" x14ac:dyDescent="0.25">
      <c r="A1" s="1" t="s">
        <v>10</v>
      </c>
      <c r="B1" s="1" t="s">
        <v>1</v>
      </c>
      <c r="C1" s="1" t="s">
        <v>4</v>
      </c>
      <c r="D1" s="1" t="s">
        <v>2</v>
      </c>
      <c r="E1" s="1" t="s">
        <v>12</v>
      </c>
      <c r="F1" s="1" t="s">
        <v>13</v>
      </c>
      <c r="G1" s="1" t="s">
        <v>3</v>
      </c>
      <c r="H1" s="1" t="s">
        <v>5</v>
      </c>
      <c r="I1" s="1" t="s">
        <v>11</v>
      </c>
    </row>
    <row r="2" spans="1:11" x14ac:dyDescent="0.25">
      <c r="A2" s="1" t="s">
        <v>7</v>
      </c>
      <c r="B2" s="1">
        <v>2</v>
      </c>
      <c r="C2" s="1">
        <v>317.35399999999998</v>
      </c>
      <c r="D2" s="1">
        <v>634.71</v>
      </c>
      <c r="E2" s="7">
        <f>$J$2/1000*C2</f>
        <v>171.18074759999999</v>
      </c>
      <c r="F2" s="7">
        <f>D2-E2</f>
        <v>463.52925240000002</v>
      </c>
      <c r="G2" s="1">
        <v>317.35399999999998</v>
      </c>
      <c r="H2" s="1">
        <v>158.67699999999999</v>
      </c>
      <c r="I2" s="1">
        <v>1110.74</v>
      </c>
      <c r="J2" s="2">
        <v>539.4</v>
      </c>
      <c r="K2" s="2">
        <v>642.29999999999995</v>
      </c>
    </row>
    <row r="3" spans="1:11" x14ac:dyDescent="0.25">
      <c r="A3" s="1" t="s">
        <v>7</v>
      </c>
      <c r="B3" s="1">
        <v>2</v>
      </c>
      <c r="C3" s="1">
        <v>340.00200000000001</v>
      </c>
      <c r="D3" s="1">
        <v>680</v>
      </c>
      <c r="E3" s="7">
        <f t="shared" ref="E3:E66" si="0">$J$2/1000*C3</f>
        <v>183.3970788</v>
      </c>
      <c r="F3" s="7">
        <f t="shared" ref="F3:F66" si="1">D3-E3</f>
        <v>496.60292119999997</v>
      </c>
      <c r="G3" s="1">
        <v>340.00200000000001</v>
      </c>
      <c r="H3" s="1">
        <v>170.001</v>
      </c>
      <c r="I3" s="1">
        <v>1190</v>
      </c>
    </row>
    <row r="4" spans="1:11" x14ac:dyDescent="0.25">
      <c r="A4" s="1" t="s">
        <v>7</v>
      </c>
      <c r="B4" s="1">
        <v>2</v>
      </c>
      <c r="C4" s="1">
        <v>330.18099999999998</v>
      </c>
      <c r="D4" s="1">
        <v>660.36</v>
      </c>
      <c r="E4" s="7">
        <f t="shared" si="0"/>
        <v>178.09963139999999</v>
      </c>
      <c r="F4" s="7">
        <f t="shared" si="1"/>
        <v>482.26036859999999</v>
      </c>
      <c r="G4" s="1">
        <v>330.18099999999998</v>
      </c>
      <c r="H4" s="1">
        <v>165.09100000000001</v>
      </c>
      <c r="I4" s="1">
        <v>1155.6300000000001</v>
      </c>
    </row>
    <row r="5" spans="1:11" x14ac:dyDescent="0.25">
      <c r="A5" s="1" t="s">
        <v>7</v>
      </c>
      <c r="B5" s="1">
        <v>2</v>
      </c>
      <c r="C5" s="1">
        <v>406.12200000000001</v>
      </c>
      <c r="D5" s="1">
        <v>812.24</v>
      </c>
      <c r="E5" s="7">
        <f t="shared" si="0"/>
        <v>219.06220680000001</v>
      </c>
      <c r="F5" s="7">
        <f t="shared" si="1"/>
        <v>593.1777932</v>
      </c>
      <c r="G5" s="1">
        <v>406.12200000000001</v>
      </c>
      <c r="H5" s="1">
        <v>203.06100000000001</v>
      </c>
      <c r="I5" s="1">
        <v>1421.42</v>
      </c>
    </row>
    <row r="6" spans="1:11" x14ac:dyDescent="0.25">
      <c r="A6" s="1" t="s">
        <v>7</v>
      </c>
      <c r="B6" s="1">
        <v>3</v>
      </c>
      <c r="C6" s="1">
        <v>3052.328</v>
      </c>
      <c r="D6" s="1">
        <v>9156.98</v>
      </c>
      <c r="E6" s="7">
        <f t="shared" si="0"/>
        <v>1646.4257232</v>
      </c>
      <c r="F6" s="7">
        <f t="shared" si="1"/>
        <v>7510.5542767999996</v>
      </c>
      <c r="G6" s="1">
        <v>4578.4920000000002</v>
      </c>
      <c r="H6" s="1">
        <v>2289.2460000000001</v>
      </c>
      <c r="I6" s="1">
        <v>16024.72</v>
      </c>
    </row>
    <row r="7" spans="1:11" x14ac:dyDescent="0.25">
      <c r="A7" s="1" t="s">
        <v>7</v>
      </c>
      <c r="B7" s="1">
        <v>3</v>
      </c>
      <c r="C7" s="1">
        <v>2333.8240000000001</v>
      </c>
      <c r="D7" s="1">
        <v>7001.47</v>
      </c>
      <c r="E7" s="7">
        <f t="shared" si="0"/>
        <v>1258.8646656000001</v>
      </c>
      <c r="F7" s="7">
        <f t="shared" si="1"/>
        <v>5742.6053344000002</v>
      </c>
      <c r="G7" s="1">
        <v>3500.7359999999999</v>
      </c>
      <c r="H7" s="1">
        <v>1750.3679999999999</v>
      </c>
      <c r="I7" s="1">
        <v>12252.57</v>
      </c>
    </row>
    <row r="8" spans="1:11" x14ac:dyDescent="0.25">
      <c r="A8" s="1" t="s">
        <v>7</v>
      </c>
      <c r="B8" s="1">
        <v>3</v>
      </c>
      <c r="C8" s="1">
        <v>1814.6790000000001</v>
      </c>
      <c r="D8" s="1">
        <v>5444.04</v>
      </c>
      <c r="E8" s="7">
        <f t="shared" si="0"/>
        <v>978.83785260000002</v>
      </c>
      <c r="F8" s="7">
        <f t="shared" si="1"/>
        <v>4465.2021474000003</v>
      </c>
      <c r="G8" s="1">
        <v>2722.0189999999998</v>
      </c>
      <c r="H8" s="1">
        <v>1361.009</v>
      </c>
      <c r="I8" s="1">
        <v>9527.07</v>
      </c>
    </row>
    <row r="9" spans="1:11" x14ac:dyDescent="0.25">
      <c r="A9" s="1" t="s">
        <v>7</v>
      </c>
      <c r="B9" s="1">
        <v>3</v>
      </c>
      <c r="C9" s="1">
        <v>2210.277</v>
      </c>
      <c r="D9" s="1">
        <v>6630.83</v>
      </c>
      <c r="E9" s="7">
        <f t="shared" si="0"/>
        <v>1192.2234137999999</v>
      </c>
      <c r="F9" s="7">
        <f t="shared" si="1"/>
        <v>5438.6065861999996</v>
      </c>
      <c r="G9" s="1">
        <v>3315.4160000000002</v>
      </c>
      <c r="H9" s="1">
        <v>1657.7080000000001</v>
      </c>
      <c r="I9" s="1">
        <v>11603.95</v>
      </c>
    </row>
    <row r="10" spans="1:11" x14ac:dyDescent="0.25">
      <c r="A10" s="1" t="s">
        <v>7</v>
      </c>
      <c r="B10" s="1">
        <v>2.5</v>
      </c>
      <c r="C10" s="1">
        <v>919.38</v>
      </c>
      <c r="D10" s="1">
        <v>2298.4499999999998</v>
      </c>
      <c r="E10" s="7">
        <f t="shared" si="0"/>
        <v>495.91357199999999</v>
      </c>
      <c r="F10" s="7">
        <f t="shared" si="1"/>
        <v>1802.5364279999999</v>
      </c>
      <c r="G10" s="1">
        <v>1149.2249999999999</v>
      </c>
      <c r="H10" s="1">
        <v>574.61300000000006</v>
      </c>
      <c r="I10" s="1">
        <v>4022.29</v>
      </c>
    </row>
    <row r="11" spans="1:11" x14ac:dyDescent="0.25">
      <c r="A11" s="1" t="s">
        <v>7</v>
      </c>
      <c r="B11" s="1">
        <v>2.5</v>
      </c>
      <c r="C11" s="1">
        <v>860.88099999999997</v>
      </c>
      <c r="D11" s="1">
        <v>2152.1999999999998</v>
      </c>
      <c r="E11" s="7">
        <f t="shared" si="0"/>
        <v>464.35921139999999</v>
      </c>
      <c r="F11" s="7">
        <f t="shared" si="1"/>
        <v>1687.8407885999998</v>
      </c>
      <c r="G11" s="1">
        <v>1076.1010000000001</v>
      </c>
      <c r="H11" s="1">
        <v>538.05100000000004</v>
      </c>
      <c r="I11" s="1">
        <v>3766.35</v>
      </c>
    </row>
    <row r="12" spans="1:11" x14ac:dyDescent="0.25">
      <c r="A12" s="1" t="s">
        <v>7</v>
      </c>
      <c r="B12" s="1">
        <v>4</v>
      </c>
      <c r="C12" s="1">
        <v>4300.1930000000002</v>
      </c>
      <c r="D12" s="1">
        <v>17200.77</v>
      </c>
      <c r="E12" s="7">
        <f t="shared" si="0"/>
        <v>2319.5241042000002</v>
      </c>
      <c r="F12" s="7">
        <f t="shared" si="1"/>
        <v>14881.245895800001</v>
      </c>
      <c r="G12" s="1">
        <v>8600.3860000000004</v>
      </c>
      <c r="H12" s="1">
        <v>4300.1930000000002</v>
      </c>
      <c r="I12" s="1">
        <v>30101.35</v>
      </c>
    </row>
    <row r="13" spans="1:11" x14ac:dyDescent="0.25">
      <c r="A13" s="1" t="s">
        <v>7</v>
      </c>
      <c r="B13" s="1">
        <v>2</v>
      </c>
      <c r="C13" s="1">
        <v>416.87799999999999</v>
      </c>
      <c r="D13" s="1">
        <v>833.76</v>
      </c>
      <c r="E13" s="7">
        <f t="shared" si="0"/>
        <v>224.86399319999998</v>
      </c>
      <c r="F13" s="7">
        <f t="shared" si="1"/>
        <v>608.89600680000001</v>
      </c>
      <c r="G13" s="1">
        <v>416.87799999999999</v>
      </c>
      <c r="H13" s="1">
        <v>208.43899999999999</v>
      </c>
      <c r="I13" s="1">
        <v>1459.08</v>
      </c>
    </row>
    <row r="14" spans="1:11" x14ac:dyDescent="0.25">
      <c r="A14" s="1" t="s">
        <v>7</v>
      </c>
      <c r="B14" s="1">
        <v>2</v>
      </c>
      <c r="C14" s="1">
        <v>566.22400000000005</v>
      </c>
      <c r="D14" s="1">
        <v>1132.45</v>
      </c>
      <c r="E14" s="7">
        <f t="shared" si="0"/>
        <v>305.42122560000001</v>
      </c>
      <c r="F14" s="7">
        <f t="shared" si="1"/>
        <v>827.02877439999997</v>
      </c>
      <c r="G14" s="1">
        <v>566.22400000000005</v>
      </c>
      <c r="H14" s="1">
        <v>283.11200000000002</v>
      </c>
      <c r="I14" s="1">
        <v>1981.79</v>
      </c>
    </row>
    <row r="15" spans="1:11" x14ac:dyDescent="0.25">
      <c r="A15" s="1" t="s">
        <v>7</v>
      </c>
      <c r="B15" s="1">
        <v>3</v>
      </c>
      <c r="C15" s="1">
        <v>1605.787</v>
      </c>
      <c r="D15" s="1">
        <v>4817.3599999999997</v>
      </c>
      <c r="E15" s="7">
        <f t="shared" si="0"/>
        <v>866.16150779999998</v>
      </c>
      <c r="F15" s="7">
        <f t="shared" si="1"/>
        <v>3951.1984921999997</v>
      </c>
      <c r="G15" s="1">
        <v>2408.681</v>
      </c>
      <c r="H15" s="1">
        <v>1204.3399999999999</v>
      </c>
      <c r="I15" s="1">
        <v>8430.3799999999992</v>
      </c>
    </row>
    <row r="16" spans="1:11" x14ac:dyDescent="0.25">
      <c r="A16" s="1" t="s">
        <v>7</v>
      </c>
      <c r="B16" s="1">
        <v>4</v>
      </c>
      <c r="C16" s="1">
        <v>3999.759</v>
      </c>
      <c r="D16" s="1">
        <v>15999.04</v>
      </c>
      <c r="E16" s="7">
        <f t="shared" si="0"/>
        <v>2157.4700045999998</v>
      </c>
      <c r="F16" s="7">
        <f t="shared" si="1"/>
        <v>13841.569995400001</v>
      </c>
      <c r="G16" s="1">
        <v>7999.518</v>
      </c>
      <c r="H16" s="1">
        <v>3999.759</v>
      </c>
      <c r="I16" s="1">
        <v>27998.32</v>
      </c>
    </row>
    <row r="17" spans="1:9" x14ac:dyDescent="0.25">
      <c r="A17" s="1" t="s">
        <v>7</v>
      </c>
      <c r="B17" s="1">
        <v>3</v>
      </c>
      <c r="C17" s="1">
        <v>612.67499999999995</v>
      </c>
      <c r="D17" s="1">
        <v>1838.03</v>
      </c>
      <c r="E17" s="7">
        <f t="shared" si="0"/>
        <v>330.47689499999996</v>
      </c>
      <c r="F17" s="7">
        <f t="shared" si="1"/>
        <v>1507.553105</v>
      </c>
      <c r="G17" s="1">
        <v>919.01199999999994</v>
      </c>
      <c r="H17" s="1">
        <v>459.50599999999997</v>
      </c>
      <c r="I17" s="1">
        <v>3216.55</v>
      </c>
    </row>
    <row r="18" spans="1:9" x14ac:dyDescent="0.25">
      <c r="A18" s="1" t="s">
        <v>7</v>
      </c>
      <c r="B18" s="1">
        <v>2</v>
      </c>
      <c r="C18" s="1">
        <v>256.80099999999999</v>
      </c>
      <c r="D18" s="1">
        <v>513.6</v>
      </c>
      <c r="E18" s="7">
        <f t="shared" si="0"/>
        <v>138.51845939999998</v>
      </c>
      <c r="F18" s="7">
        <f t="shared" si="1"/>
        <v>375.08154060000004</v>
      </c>
      <c r="G18" s="1">
        <v>256.80099999999999</v>
      </c>
      <c r="H18" s="1">
        <v>128.40100000000001</v>
      </c>
      <c r="I18" s="1">
        <v>898.8</v>
      </c>
    </row>
    <row r="19" spans="1:9" x14ac:dyDescent="0.25">
      <c r="A19" s="1" t="s">
        <v>7</v>
      </c>
      <c r="B19" s="1">
        <v>3</v>
      </c>
      <c r="C19" s="1">
        <v>837.40800000000002</v>
      </c>
      <c r="D19" s="1">
        <v>2512.2199999999998</v>
      </c>
      <c r="E19" s="7">
        <f t="shared" si="0"/>
        <v>451.6978752</v>
      </c>
      <c r="F19" s="7">
        <f t="shared" si="1"/>
        <v>2060.5221247999998</v>
      </c>
      <c r="G19" s="1">
        <v>1256.1120000000001</v>
      </c>
      <c r="H19" s="1">
        <v>628.05600000000004</v>
      </c>
      <c r="I19" s="1">
        <v>4396.3900000000003</v>
      </c>
    </row>
    <row r="20" spans="1:9" x14ac:dyDescent="0.25">
      <c r="A20" s="1" t="s">
        <v>7</v>
      </c>
      <c r="B20" s="1">
        <v>2</v>
      </c>
      <c r="C20" s="1">
        <v>268.02199999999999</v>
      </c>
      <c r="D20" s="1">
        <v>536.04</v>
      </c>
      <c r="E20" s="7">
        <f t="shared" si="0"/>
        <v>144.57106679999998</v>
      </c>
      <c r="F20" s="7">
        <f t="shared" si="1"/>
        <v>391.46893319999998</v>
      </c>
      <c r="G20" s="1">
        <v>268.02199999999999</v>
      </c>
      <c r="H20" s="1">
        <v>134.011</v>
      </c>
      <c r="I20" s="1">
        <v>938.07</v>
      </c>
    </row>
    <row r="21" spans="1:9" x14ac:dyDescent="0.25">
      <c r="A21" s="1" t="s">
        <v>7</v>
      </c>
      <c r="B21" s="1">
        <v>3</v>
      </c>
      <c r="C21" s="1">
        <v>1475.201</v>
      </c>
      <c r="D21" s="1">
        <v>4425.6000000000004</v>
      </c>
      <c r="E21" s="7">
        <f t="shared" si="0"/>
        <v>795.72341940000001</v>
      </c>
      <c r="F21" s="7">
        <f t="shared" si="1"/>
        <v>3629.8765806000001</v>
      </c>
      <c r="G21" s="1">
        <v>2212.8020000000001</v>
      </c>
      <c r="H21" s="1">
        <v>1106.4010000000001</v>
      </c>
      <c r="I21" s="1">
        <v>7744.8</v>
      </c>
    </row>
    <row r="22" spans="1:9" x14ac:dyDescent="0.25">
      <c r="A22" s="1" t="s">
        <v>7</v>
      </c>
      <c r="B22" s="1">
        <v>2</v>
      </c>
      <c r="C22" s="1">
        <v>547.79499999999996</v>
      </c>
      <c r="D22" s="1">
        <v>1095.5899999999999</v>
      </c>
      <c r="E22" s="7">
        <f t="shared" si="0"/>
        <v>295.48062299999998</v>
      </c>
      <c r="F22" s="7">
        <f t="shared" si="1"/>
        <v>800.10937699999999</v>
      </c>
      <c r="G22" s="1">
        <v>547.79499999999996</v>
      </c>
      <c r="H22" s="1">
        <v>273.89800000000002</v>
      </c>
      <c r="I22" s="1">
        <v>1917.28</v>
      </c>
    </row>
    <row r="23" spans="1:9" x14ac:dyDescent="0.25">
      <c r="A23" s="1" t="s">
        <v>7</v>
      </c>
      <c r="B23" s="1">
        <v>2</v>
      </c>
      <c r="C23" s="1">
        <v>961.07899999999995</v>
      </c>
      <c r="D23" s="1">
        <v>1922.16</v>
      </c>
      <c r="E23" s="7">
        <f t="shared" si="0"/>
        <v>518.40601259999994</v>
      </c>
      <c r="F23" s="7">
        <f t="shared" si="1"/>
        <v>1403.7539874000001</v>
      </c>
      <c r="G23" s="1">
        <v>961.07899999999995</v>
      </c>
      <c r="H23" s="1">
        <v>480.54</v>
      </c>
      <c r="I23" s="1">
        <v>3363.78</v>
      </c>
    </row>
    <row r="24" spans="1:9" x14ac:dyDescent="0.25">
      <c r="A24" s="1" t="s">
        <v>7</v>
      </c>
      <c r="B24" s="1">
        <v>2</v>
      </c>
      <c r="C24" s="1">
        <v>1278.8209999999999</v>
      </c>
      <c r="D24" s="1">
        <v>2557.64</v>
      </c>
      <c r="E24" s="7">
        <f t="shared" si="0"/>
        <v>689.79604739999991</v>
      </c>
      <c r="F24" s="7">
        <f t="shared" si="1"/>
        <v>1867.8439526</v>
      </c>
      <c r="G24" s="1">
        <v>1278.8209999999999</v>
      </c>
      <c r="H24" s="1">
        <v>639.41099999999994</v>
      </c>
      <c r="I24" s="1">
        <v>4475.87</v>
      </c>
    </row>
    <row r="25" spans="1:9" x14ac:dyDescent="0.25">
      <c r="A25" s="1" t="s">
        <v>7</v>
      </c>
      <c r="B25" s="1">
        <v>2</v>
      </c>
      <c r="C25" s="1">
        <v>4606.277</v>
      </c>
      <c r="D25" s="1">
        <v>9212.5499999999993</v>
      </c>
      <c r="E25" s="7">
        <f t="shared" si="0"/>
        <v>2484.6258137999998</v>
      </c>
      <c r="F25" s="7">
        <f t="shared" si="1"/>
        <v>6727.9241861999999</v>
      </c>
      <c r="G25" s="1">
        <v>4606.277</v>
      </c>
      <c r="H25" s="1">
        <v>2303.1390000000001</v>
      </c>
      <c r="I25" s="1">
        <v>16121.97</v>
      </c>
    </row>
    <row r="26" spans="1:9" x14ac:dyDescent="0.25">
      <c r="A26" s="1" t="s">
        <v>7</v>
      </c>
      <c r="B26" s="1">
        <v>3</v>
      </c>
      <c r="C26" s="1">
        <v>2942.5219999999999</v>
      </c>
      <c r="D26" s="1">
        <v>8827.57</v>
      </c>
      <c r="E26" s="7">
        <f t="shared" si="0"/>
        <v>1587.1963667999999</v>
      </c>
      <c r="F26" s="7">
        <f t="shared" si="1"/>
        <v>7240.3736331999999</v>
      </c>
      <c r="G26" s="1">
        <v>4413.7830000000004</v>
      </c>
      <c r="H26" s="1">
        <v>2206.8910000000001</v>
      </c>
      <c r="I26" s="1">
        <v>15448.24</v>
      </c>
    </row>
    <row r="27" spans="1:9" x14ac:dyDescent="0.25">
      <c r="A27" s="1" t="s">
        <v>7</v>
      </c>
      <c r="B27" s="1">
        <v>3</v>
      </c>
      <c r="C27" s="1">
        <v>3953.2750000000001</v>
      </c>
      <c r="D27" s="1">
        <v>11859.83</v>
      </c>
      <c r="E27" s="7">
        <f t="shared" si="0"/>
        <v>2132.3965349999999</v>
      </c>
      <c r="F27" s="7">
        <f t="shared" si="1"/>
        <v>9727.4334650000001</v>
      </c>
      <c r="G27" s="1">
        <v>5929.9129999999996</v>
      </c>
      <c r="H27" s="1">
        <v>2964.9560000000001</v>
      </c>
      <c r="I27" s="1">
        <v>20754.7</v>
      </c>
    </row>
    <row r="28" spans="1:9" x14ac:dyDescent="0.25">
      <c r="A28" s="1" t="s">
        <v>7</v>
      </c>
      <c r="B28" s="1">
        <v>2</v>
      </c>
      <c r="C28" s="1">
        <v>471.59100000000001</v>
      </c>
      <c r="D28" s="1">
        <v>943.18</v>
      </c>
      <c r="E28" s="7">
        <f t="shared" si="0"/>
        <v>254.3761854</v>
      </c>
      <c r="F28" s="7">
        <f t="shared" si="1"/>
        <v>688.8038145999999</v>
      </c>
      <c r="G28" s="1">
        <v>471.59100000000001</v>
      </c>
      <c r="H28" s="1">
        <v>235.79599999999999</v>
      </c>
      <c r="I28" s="1">
        <v>1650.57</v>
      </c>
    </row>
    <row r="29" spans="1:9" x14ac:dyDescent="0.25">
      <c r="A29" s="1" t="s">
        <v>7</v>
      </c>
      <c r="B29" s="1">
        <v>4</v>
      </c>
      <c r="C29" s="1">
        <v>4213.7640000000001</v>
      </c>
      <c r="D29" s="1">
        <v>16855.060000000001</v>
      </c>
      <c r="E29" s="7">
        <f t="shared" si="0"/>
        <v>2272.9043016000001</v>
      </c>
      <c r="F29" s="7">
        <f t="shared" si="1"/>
        <v>14582.155698400002</v>
      </c>
      <c r="G29" s="1">
        <v>8427.5280000000002</v>
      </c>
      <c r="H29" s="1">
        <v>4213.7640000000001</v>
      </c>
      <c r="I29" s="1">
        <v>29496.35</v>
      </c>
    </row>
    <row r="30" spans="1:9" x14ac:dyDescent="0.25">
      <c r="A30" s="1" t="s">
        <v>7</v>
      </c>
      <c r="B30" s="1">
        <v>2</v>
      </c>
      <c r="C30" s="1">
        <v>986.46699999999998</v>
      </c>
      <c r="D30" s="1">
        <v>1972.93</v>
      </c>
      <c r="E30" s="7">
        <f t="shared" si="0"/>
        <v>532.10029980000002</v>
      </c>
      <c r="F30" s="7">
        <f t="shared" si="1"/>
        <v>1440.8297001999999</v>
      </c>
      <c r="G30" s="1">
        <v>986.46699999999998</v>
      </c>
      <c r="H30" s="1">
        <v>493.23399999999998</v>
      </c>
      <c r="I30" s="1">
        <v>3452.63</v>
      </c>
    </row>
    <row r="31" spans="1:9" x14ac:dyDescent="0.25">
      <c r="A31" s="1" t="s">
        <v>7</v>
      </c>
      <c r="B31" s="1">
        <v>2</v>
      </c>
      <c r="C31" s="1">
        <v>40274.544999999998</v>
      </c>
      <c r="D31" s="1">
        <v>80549.09</v>
      </c>
      <c r="E31" s="7">
        <f t="shared" si="0"/>
        <v>21724.089572999997</v>
      </c>
      <c r="F31" s="7">
        <f t="shared" si="1"/>
        <v>58825.000426999999</v>
      </c>
      <c r="G31" s="1">
        <v>40274.544999999998</v>
      </c>
      <c r="H31" s="1">
        <v>20137.273000000001</v>
      </c>
      <c r="I31" s="1">
        <v>140960.91</v>
      </c>
    </row>
    <row r="32" spans="1:9" x14ac:dyDescent="0.25">
      <c r="A32" s="1" t="s">
        <v>7</v>
      </c>
      <c r="B32" s="1">
        <v>3</v>
      </c>
      <c r="C32" s="1">
        <v>1801.3510000000001</v>
      </c>
      <c r="D32" s="1">
        <v>5404.05</v>
      </c>
      <c r="E32" s="7">
        <f t="shared" si="0"/>
        <v>971.64872940000009</v>
      </c>
      <c r="F32" s="7">
        <f t="shared" si="1"/>
        <v>4432.4012706000003</v>
      </c>
      <c r="G32" s="1">
        <v>2702.027</v>
      </c>
      <c r="H32" s="1">
        <v>1351.0129999999999</v>
      </c>
      <c r="I32" s="1">
        <v>9457.09</v>
      </c>
    </row>
    <row r="33" spans="1:9" x14ac:dyDescent="0.25">
      <c r="A33" s="1" t="s">
        <v>7</v>
      </c>
      <c r="B33" s="1">
        <v>3</v>
      </c>
      <c r="C33" s="1">
        <v>1233.8979999999999</v>
      </c>
      <c r="D33" s="1">
        <v>3701.69</v>
      </c>
      <c r="E33" s="7">
        <f t="shared" si="0"/>
        <v>665.56458119999991</v>
      </c>
      <c r="F33" s="7">
        <f t="shared" si="1"/>
        <v>3036.1254188000003</v>
      </c>
      <c r="G33" s="1">
        <v>1850.847</v>
      </c>
      <c r="H33" s="1">
        <v>925.423</v>
      </c>
      <c r="I33" s="1">
        <v>6477.96</v>
      </c>
    </row>
    <row r="34" spans="1:9" x14ac:dyDescent="0.25">
      <c r="A34" s="1" t="s">
        <v>7</v>
      </c>
      <c r="B34" s="1">
        <v>5</v>
      </c>
      <c r="C34" s="1">
        <v>29618.616000000002</v>
      </c>
      <c r="D34" s="1">
        <v>148093.07999999999</v>
      </c>
      <c r="E34" s="7">
        <f t="shared" si="0"/>
        <v>15976.281470400001</v>
      </c>
      <c r="F34" s="7">
        <f t="shared" si="1"/>
        <v>132116.7985296</v>
      </c>
      <c r="G34" s="1">
        <v>74046.539999999994</v>
      </c>
      <c r="H34" s="1">
        <v>37023.269999999997</v>
      </c>
      <c r="I34" s="1">
        <v>259162.89</v>
      </c>
    </row>
    <row r="35" spans="1:9" x14ac:dyDescent="0.25">
      <c r="A35" s="1" t="s">
        <v>7</v>
      </c>
      <c r="B35" s="1">
        <v>3</v>
      </c>
      <c r="C35" s="1">
        <v>2920.547</v>
      </c>
      <c r="D35" s="1">
        <v>8761.64</v>
      </c>
      <c r="E35" s="7">
        <f t="shared" si="0"/>
        <v>1575.3430518</v>
      </c>
      <c r="F35" s="7">
        <f t="shared" si="1"/>
        <v>7186.296948199999</v>
      </c>
      <c r="G35" s="1">
        <v>4380.8209999999999</v>
      </c>
      <c r="H35" s="1">
        <v>2190.41</v>
      </c>
      <c r="I35" s="1">
        <v>15332.87</v>
      </c>
    </row>
    <row r="36" spans="1:9" x14ac:dyDescent="0.25">
      <c r="A36" s="1" t="s">
        <v>7</v>
      </c>
      <c r="B36" s="1">
        <v>3</v>
      </c>
      <c r="C36" s="1">
        <v>3061.6</v>
      </c>
      <c r="D36" s="1">
        <v>9184.7999999999993</v>
      </c>
      <c r="E36" s="7">
        <f t="shared" si="0"/>
        <v>1651.42704</v>
      </c>
      <c r="F36" s="7">
        <f t="shared" si="1"/>
        <v>7533.3729599999988</v>
      </c>
      <c r="G36" s="1">
        <v>4592.3999999999996</v>
      </c>
      <c r="H36" s="1">
        <v>2296.1999999999998</v>
      </c>
      <c r="I36" s="1">
        <v>16073.4</v>
      </c>
    </row>
    <row r="37" spans="1:9" x14ac:dyDescent="0.25">
      <c r="A37" s="1" t="s">
        <v>7</v>
      </c>
      <c r="B37" s="1">
        <v>2</v>
      </c>
      <c r="C37" s="1">
        <v>1085.249</v>
      </c>
      <c r="D37" s="1">
        <v>2170.5</v>
      </c>
      <c r="E37" s="7">
        <f t="shared" si="0"/>
        <v>585.38331059999996</v>
      </c>
      <c r="F37" s="7">
        <f t="shared" si="1"/>
        <v>1585.1166894</v>
      </c>
      <c r="G37" s="1">
        <v>1085.249</v>
      </c>
      <c r="H37" s="1">
        <v>542.625</v>
      </c>
      <c r="I37" s="1">
        <v>3798.37</v>
      </c>
    </row>
    <row r="38" spans="1:9" x14ac:dyDescent="0.25">
      <c r="A38" s="1" t="s">
        <v>7</v>
      </c>
      <c r="B38" s="1">
        <v>3</v>
      </c>
      <c r="C38" s="1">
        <v>1760.3209999999999</v>
      </c>
      <c r="D38" s="1">
        <v>5280.96</v>
      </c>
      <c r="E38" s="7">
        <f t="shared" si="0"/>
        <v>949.51714739999989</v>
      </c>
      <c r="F38" s="7">
        <f t="shared" si="1"/>
        <v>4331.4428526000002</v>
      </c>
      <c r="G38" s="1">
        <v>2640.482</v>
      </c>
      <c r="H38" s="1">
        <v>1320.241</v>
      </c>
      <c r="I38" s="1">
        <v>9241.68</v>
      </c>
    </row>
    <row r="39" spans="1:9" x14ac:dyDescent="0.25">
      <c r="A39" s="1" t="s">
        <v>7</v>
      </c>
      <c r="B39" s="1">
        <v>3</v>
      </c>
      <c r="C39" s="1">
        <v>2874.931</v>
      </c>
      <c r="D39" s="1">
        <v>8624.7900000000009</v>
      </c>
      <c r="E39" s="7">
        <f t="shared" si="0"/>
        <v>1550.7377813999999</v>
      </c>
      <c r="F39" s="7">
        <f t="shared" si="1"/>
        <v>7074.0522186000007</v>
      </c>
      <c r="G39" s="1">
        <v>4312.3969999999999</v>
      </c>
      <c r="H39" s="1">
        <v>2156.1979999999999</v>
      </c>
      <c r="I39" s="1">
        <v>15093.39</v>
      </c>
    </row>
    <row r="40" spans="1:9" x14ac:dyDescent="0.25">
      <c r="A40" s="1" t="s">
        <v>7</v>
      </c>
      <c r="B40" s="1">
        <v>3</v>
      </c>
      <c r="C40" s="1">
        <v>2010.26</v>
      </c>
      <c r="D40" s="1">
        <v>6030.78</v>
      </c>
      <c r="E40" s="7">
        <f t="shared" si="0"/>
        <v>1084.3342439999999</v>
      </c>
      <c r="F40" s="7">
        <f t="shared" si="1"/>
        <v>4946.4457560000001</v>
      </c>
      <c r="G40" s="1">
        <v>3015.39</v>
      </c>
      <c r="H40" s="1">
        <v>1507.6949999999999</v>
      </c>
      <c r="I40" s="1">
        <v>10553.87</v>
      </c>
    </row>
    <row r="41" spans="1:9" x14ac:dyDescent="0.25">
      <c r="A41" s="1" t="s">
        <v>7</v>
      </c>
      <c r="B41" s="1">
        <v>3</v>
      </c>
      <c r="C41" s="1">
        <v>477.72300000000001</v>
      </c>
      <c r="D41" s="1">
        <v>1433.17</v>
      </c>
      <c r="E41" s="7">
        <f t="shared" si="0"/>
        <v>257.68378619999999</v>
      </c>
      <c r="F41" s="7">
        <f t="shared" si="1"/>
        <v>1175.4862138000001</v>
      </c>
      <c r="G41" s="1">
        <v>716.58500000000004</v>
      </c>
      <c r="H41" s="1">
        <v>358.29199999999997</v>
      </c>
      <c r="I41" s="1">
        <v>2508.0500000000002</v>
      </c>
    </row>
    <row r="42" spans="1:9" x14ac:dyDescent="0.25">
      <c r="A42" s="1" t="s">
        <v>7</v>
      </c>
      <c r="B42" s="1">
        <v>3</v>
      </c>
      <c r="C42" s="1">
        <v>595.64</v>
      </c>
      <c r="D42" s="1">
        <v>1786.92</v>
      </c>
      <c r="E42" s="7">
        <f t="shared" si="0"/>
        <v>321.28821599999998</v>
      </c>
      <c r="F42" s="7">
        <f t="shared" si="1"/>
        <v>1465.6317840000002</v>
      </c>
      <c r="G42" s="1">
        <v>893.46</v>
      </c>
      <c r="H42" s="1">
        <v>446.73</v>
      </c>
      <c r="I42" s="1">
        <v>3127.11</v>
      </c>
    </row>
    <row r="43" spans="1:9" x14ac:dyDescent="0.25">
      <c r="A43" s="1" t="s">
        <v>7</v>
      </c>
      <c r="B43" s="1">
        <v>3</v>
      </c>
      <c r="C43" s="1">
        <v>749.10799999999995</v>
      </c>
      <c r="D43" s="1">
        <v>2247.3200000000002</v>
      </c>
      <c r="E43" s="7">
        <f t="shared" si="0"/>
        <v>404.06885519999997</v>
      </c>
      <c r="F43" s="7">
        <f t="shared" si="1"/>
        <v>1843.2511448000002</v>
      </c>
      <c r="G43" s="1">
        <v>1123.662</v>
      </c>
      <c r="H43" s="1">
        <v>561.83100000000002</v>
      </c>
      <c r="I43" s="1">
        <v>3932.81</v>
      </c>
    </row>
    <row r="44" spans="1:9" x14ac:dyDescent="0.25">
      <c r="A44" s="1" t="s">
        <v>7</v>
      </c>
      <c r="B44" s="1">
        <v>3</v>
      </c>
      <c r="C44" s="1">
        <v>1380.2280000000001</v>
      </c>
      <c r="D44" s="1">
        <v>4140.68</v>
      </c>
      <c r="E44" s="7">
        <f t="shared" si="0"/>
        <v>744.49498319999998</v>
      </c>
      <c r="F44" s="7">
        <f t="shared" si="1"/>
        <v>3396.1850168000001</v>
      </c>
      <c r="G44" s="1">
        <v>2070.3420000000001</v>
      </c>
      <c r="H44" s="1">
        <v>1035.171</v>
      </c>
      <c r="I44" s="1">
        <v>7246.19</v>
      </c>
    </row>
    <row r="45" spans="1:9" x14ac:dyDescent="0.25">
      <c r="A45" s="1" t="s">
        <v>7</v>
      </c>
      <c r="B45" s="1">
        <v>2</v>
      </c>
      <c r="C45" s="1">
        <v>456.81599999999997</v>
      </c>
      <c r="D45" s="1">
        <v>913.63</v>
      </c>
      <c r="E45" s="7">
        <f t="shared" si="0"/>
        <v>246.40655039999999</v>
      </c>
      <c r="F45" s="7">
        <f t="shared" si="1"/>
        <v>667.22344959999998</v>
      </c>
      <c r="G45" s="1">
        <v>456.81599999999997</v>
      </c>
      <c r="H45" s="1">
        <v>228.40799999999999</v>
      </c>
      <c r="I45" s="1">
        <v>1598.85</v>
      </c>
    </row>
    <row r="46" spans="1:9" x14ac:dyDescent="0.25">
      <c r="A46" s="1" t="s">
        <v>7</v>
      </c>
      <c r="B46" s="1">
        <v>3</v>
      </c>
      <c r="C46" s="1">
        <v>2560.38</v>
      </c>
      <c r="D46" s="1">
        <v>7681.14</v>
      </c>
      <c r="E46" s="7">
        <f t="shared" si="0"/>
        <v>1381.068972</v>
      </c>
      <c r="F46" s="7">
        <f t="shared" si="1"/>
        <v>6300.0710280000003</v>
      </c>
      <c r="G46" s="1">
        <v>3840.57</v>
      </c>
      <c r="H46" s="1">
        <v>1920.2850000000001</v>
      </c>
      <c r="I46" s="1">
        <v>13442</v>
      </c>
    </row>
    <row r="47" spans="1:9" x14ac:dyDescent="0.25">
      <c r="A47" s="1" t="s">
        <v>7</v>
      </c>
      <c r="B47" s="1">
        <v>2</v>
      </c>
      <c r="C47" s="1">
        <v>682.15</v>
      </c>
      <c r="D47" s="1">
        <v>1364.3</v>
      </c>
      <c r="E47" s="7">
        <f t="shared" si="0"/>
        <v>367.95170999999999</v>
      </c>
      <c r="F47" s="7">
        <f t="shared" si="1"/>
        <v>996.34828999999991</v>
      </c>
      <c r="G47" s="1">
        <v>682.15</v>
      </c>
      <c r="H47" s="1">
        <v>341.07499999999999</v>
      </c>
      <c r="I47" s="1">
        <v>2387.52</v>
      </c>
    </row>
    <row r="48" spans="1:9" x14ac:dyDescent="0.25">
      <c r="A48" s="1" t="s">
        <v>7</v>
      </c>
      <c r="B48" s="1">
        <v>3</v>
      </c>
      <c r="C48" s="1">
        <v>2755.7890000000002</v>
      </c>
      <c r="D48" s="1">
        <v>8267.3700000000008</v>
      </c>
      <c r="E48" s="7">
        <f t="shared" si="0"/>
        <v>1486.4725866000001</v>
      </c>
      <c r="F48" s="7">
        <f t="shared" si="1"/>
        <v>6780.8974134000009</v>
      </c>
      <c r="G48" s="1">
        <v>4133.6840000000002</v>
      </c>
      <c r="H48" s="1">
        <v>2066.8420000000001</v>
      </c>
      <c r="I48" s="1">
        <v>14467.9</v>
      </c>
    </row>
    <row r="49" spans="1:9" x14ac:dyDescent="0.25">
      <c r="A49" s="1" t="s">
        <v>7</v>
      </c>
      <c r="B49" s="1">
        <v>3</v>
      </c>
      <c r="C49" s="1">
        <v>2369.7249999999999</v>
      </c>
      <c r="D49" s="1">
        <v>7109.17</v>
      </c>
      <c r="E49" s="7">
        <f t="shared" si="0"/>
        <v>1278.2296649999998</v>
      </c>
      <c r="F49" s="7">
        <f t="shared" si="1"/>
        <v>5830.9403350000002</v>
      </c>
      <c r="G49" s="1">
        <v>3554.587</v>
      </c>
      <c r="H49" s="1">
        <v>1777.2940000000001</v>
      </c>
      <c r="I49" s="1">
        <v>12441.05</v>
      </c>
    </row>
    <row r="50" spans="1:9" x14ac:dyDescent="0.25">
      <c r="A50" s="1" t="s">
        <v>7</v>
      </c>
      <c r="B50" s="1">
        <v>3</v>
      </c>
      <c r="C50" s="1">
        <v>6669.1509999999998</v>
      </c>
      <c r="D50" s="1">
        <v>20007.45</v>
      </c>
      <c r="E50" s="7">
        <f t="shared" si="0"/>
        <v>3597.3400493999998</v>
      </c>
      <c r="F50" s="7">
        <f t="shared" si="1"/>
        <v>16410.109950600003</v>
      </c>
      <c r="G50" s="1">
        <v>10003.727000000001</v>
      </c>
      <c r="H50" s="1">
        <v>5001.8630000000003</v>
      </c>
      <c r="I50" s="1">
        <v>35013.040000000001</v>
      </c>
    </row>
    <row r="51" spans="1:9" x14ac:dyDescent="0.25">
      <c r="A51" s="1" t="s">
        <v>7</v>
      </c>
      <c r="B51" s="1">
        <v>4</v>
      </c>
      <c r="C51" s="1">
        <v>7379.8459999999995</v>
      </c>
      <c r="D51" s="1">
        <v>29519.38</v>
      </c>
      <c r="E51" s="7">
        <f t="shared" si="0"/>
        <v>3980.6889323999999</v>
      </c>
      <c r="F51" s="7">
        <f t="shared" si="1"/>
        <v>25538.691067600001</v>
      </c>
      <c r="G51" s="1">
        <v>14759.691999999999</v>
      </c>
      <c r="H51" s="1">
        <v>7379.8459999999995</v>
      </c>
      <c r="I51" s="1">
        <v>51658.92</v>
      </c>
    </row>
    <row r="52" spans="1:9" x14ac:dyDescent="0.25">
      <c r="A52" s="1" t="s">
        <v>7</v>
      </c>
      <c r="B52" s="1">
        <v>3</v>
      </c>
      <c r="C52" s="1">
        <v>2910.7809999999999</v>
      </c>
      <c r="D52" s="1">
        <v>8732.34</v>
      </c>
      <c r="E52" s="7">
        <f t="shared" si="0"/>
        <v>1570.0752714</v>
      </c>
      <c r="F52" s="7">
        <f t="shared" si="1"/>
        <v>7162.2647286000001</v>
      </c>
      <c r="G52" s="1">
        <v>4366.1719999999996</v>
      </c>
      <c r="H52" s="1">
        <v>2183.0859999999998</v>
      </c>
      <c r="I52" s="1">
        <v>15281.6</v>
      </c>
    </row>
    <row r="53" spans="1:9" x14ac:dyDescent="0.25">
      <c r="A53" s="1" t="s">
        <v>7</v>
      </c>
      <c r="B53" s="1">
        <v>4</v>
      </c>
      <c r="C53" s="1">
        <v>2931.7629999999999</v>
      </c>
      <c r="D53" s="1">
        <v>11727.05</v>
      </c>
      <c r="E53" s="7">
        <f t="shared" si="0"/>
        <v>1581.3929621999998</v>
      </c>
      <c r="F53" s="7">
        <f t="shared" si="1"/>
        <v>10145.6570378</v>
      </c>
      <c r="G53" s="1">
        <v>5863.5259999999998</v>
      </c>
      <c r="H53" s="1">
        <v>2931.7629999999999</v>
      </c>
      <c r="I53" s="1">
        <v>20522.34</v>
      </c>
    </row>
    <row r="54" spans="1:9" x14ac:dyDescent="0.25">
      <c r="A54" s="1" t="s">
        <v>7</v>
      </c>
      <c r="B54" s="1">
        <v>3</v>
      </c>
      <c r="C54" s="1">
        <v>1949.9380000000001</v>
      </c>
      <c r="D54" s="1">
        <v>5849.81</v>
      </c>
      <c r="E54" s="7">
        <f t="shared" si="0"/>
        <v>1051.7965572000001</v>
      </c>
      <c r="F54" s="7">
        <f t="shared" si="1"/>
        <v>4798.0134428000001</v>
      </c>
      <c r="G54" s="1">
        <v>2924.9070000000002</v>
      </c>
      <c r="H54" s="1">
        <v>1462.454</v>
      </c>
      <c r="I54" s="1">
        <v>10237.17</v>
      </c>
    </row>
    <row r="55" spans="1:9" x14ac:dyDescent="0.25">
      <c r="A55" s="1" t="s">
        <v>7</v>
      </c>
      <c r="B55" s="1">
        <v>2</v>
      </c>
      <c r="C55" s="1">
        <v>1236.847</v>
      </c>
      <c r="D55" s="1">
        <v>2473.69</v>
      </c>
      <c r="E55" s="7">
        <f t="shared" si="0"/>
        <v>667.15527179999992</v>
      </c>
      <c r="F55" s="7">
        <f t="shared" si="1"/>
        <v>1806.5347282000002</v>
      </c>
      <c r="G55" s="1">
        <v>1236.847</v>
      </c>
      <c r="H55" s="1">
        <v>618.42399999999998</v>
      </c>
      <c r="I55" s="1">
        <v>4328.96</v>
      </c>
    </row>
    <row r="56" spans="1:9" x14ac:dyDescent="0.25">
      <c r="A56" s="1" t="s">
        <v>7</v>
      </c>
      <c r="B56" s="1">
        <v>2</v>
      </c>
      <c r="C56" s="1">
        <v>758.71100000000001</v>
      </c>
      <c r="D56" s="1">
        <v>1517.42</v>
      </c>
      <c r="E56" s="7">
        <f t="shared" si="0"/>
        <v>409.24871339999999</v>
      </c>
      <c r="F56" s="7">
        <f t="shared" si="1"/>
        <v>1108.1712866</v>
      </c>
      <c r="G56" s="1">
        <v>758.71100000000001</v>
      </c>
      <c r="H56" s="1">
        <v>379.35599999999999</v>
      </c>
      <c r="I56" s="1">
        <v>2655.49</v>
      </c>
    </row>
    <row r="57" spans="1:9" x14ac:dyDescent="0.25">
      <c r="A57" s="1" t="s">
        <v>7</v>
      </c>
      <c r="B57" s="1">
        <v>4</v>
      </c>
      <c r="C57" s="1">
        <v>1031.9739999999999</v>
      </c>
      <c r="D57" s="1">
        <v>4127.8999999999996</v>
      </c>
      <c r="E57" s="7">
        <f t="shared" si="0"/>
        <v>556.64677559999996</v>
      </c>
      <c r="F57" s="7">
        <f t="shared" si="1"/>
        <v>3571.2532243999995</v>
      </c>
      <c r="G57" s="1">
        <v>2063.9479999999999</v>
      </c>
      <c r="H57" s="1">
        <v>1031.9739999999999</v>
      </c>
      <c r="I57" s="1">
        <v>7223.82</v>
      </c>
    </row>
    <row r="58" spans="1:9" x14ac:dyDescent="0.25">
      <c r="A58" s="1" t="s">
        <v>7</v>
      </c>
      <c r="B58" s="1">
        <v>2</v>
      </c>
      <c r="C58" s="1">
        <v>170.351</v>
      </c>
      <c r="D58" s="1">
        <v>340.7</v>
      </c>
      <c r="E58" s="7">
        <f t="shared" si="0"/>
        <v>91.887329399999999</v>
      </c>
      <c r="F58" s="7">
        <f t="shared" si="1"/>
        <v>248.81267059999999</v>
      </c>
      <c r="G58" s="1">
        <v>170.351</v>
      </c>
      <c r="H58" s="1">
        <v>85.176000000000002</v>
      </c>
      <c r="I58" s="1">
        <v>596.23</v>
      </c>
    </row>
    <row r="59" spans="1:9" x14ac:dyDescent="0.25">
      <c r="A59" s="1" t="s">
        <v>7</v>
      </c>
      <c r="B59" s="1">
        <v>2</v>
      </c>
      <c r="C59" s="1">
        <v>586.11</v>
      </c>
      <c r="D59" s="1">
        <v>1172.22</v>
      </c>
      <c r="E59" s="7">
        <f t="shared" si="0"/>
        <v>316.14773400000001</v>
      </c>
      <c r="F59" s="7">
        <f t="shared" si="1"/>
        <v>856.07226600000001</v>
      </c>
      <c r="G59" s="1">
        <v>586.11</v>
      </c>
      <c r="H59" s="1">
        <v>293.05500000000001</v>
      </c>
      <c r="I59" s="1">
        <v>2051.38</v>
      </c>
    </row>
    <row r="60" spans="1:9" x14ac:dyDescent="0.25">
      <c r="A60" s="1" t="s">
        <v>7</v>
      </c>
      <c r="B60" s="1">
        <v>3</v>
      </c>
      <c r="C60" s="1">
        <v>4415.68</v>
      </c>
      <c r="D60" s="1">
        <v>13247.04</v>
      </c>
      <c r="E60" s="7">
        <f t="shared" si="0"/>
        <v>2381.8177920000003</v>
      </c>
      <c r="F60" s="7">
        <f t="shared" si="1"/>
        <v>10865.222208000001</v>
      </c>
      <c r="G60" s="1">
        <v>6623.52</v>
      </c>
      <c r="H60" s="1">
        <v>3311.76</v>
      </c>
      <c r="I60" s="1">
        <v>23182.32</v>
      </c>
    </row>
    <row r="61" spans="1:9" x14ac:dyDescent="0.25">
      <c r="A61" s="1" t="s">
        <v>7</v>
      </c>
      <c r="B61" s="1">
        <v>4</v>
      </c>
      <c r="C61" s="1">
        <v>680.73400000000004</v>
      </c>
      <c r="D61" s="1">
        <v>2722.94</v>
      </c>
      <c r="E61" s="7">
        <f t="shared" si="0"/>
        <v>367.18791959999999</v>
      </c>
      <c r="F61" s="7">
        <f t="shared" si="1"/>
        <v>2355.7520804000001</v>
      </c>
      <c r="G61" s="1">
        <v>1361.4680000000001</v>
      </c>
      <c r="H61" s="1">
        <v>680.73400000000004</v>
      </c>
      <c r="I61" s="1">
        <v>4765.1400000000003</v>
      </c>
    </row>
    <row r="62" spans="1:9" x14ac:dyDescent="0.25">
      <c r="A62" s="1" t="s">
        <v>7</v>
      </c>
      <c r="B62" s="1">
        <v>2</v>
      </c>
      <c r="C62" s="1">
        <v>424.97899999999998</v>
      </c>
      <c r="D62" s="1">
        <v>849.96</v>
      </c>
      <c r="E62" s="7">
        <f t="shared" si="0"/>
        <v>229.23367259999998</v>
      </c>
      <c r="F62" s="7">
        <f t="shared" si="1"/>
        <v>620.72632740000006</v>
      </c>
      <c r="G62" s="1">
        <v>424.97899999999998</v>
      </c>
      <c r="H62" s="1">
        <v>212.49</v>
      </c>
      <c r="I62" s="1">
        <v>1487.43</v>
      </c>
    </row>
    <row r="63" spans="1:9" x14ac:dyDescent="0.25">
      <c r="A63" s="1" t="s">
        <v>7</v>
      </c>
      <c r="B63" s="1">
        <v>2</v>
      </c>
      <c r="C63" s="1">
        <v>927.577</v>
      </c>
      <c r="D63" s="1">
        <v>1855.15</v>
      </c>
      <c r="E63" s="7">
        <f t="shared" si="0"/>
        <v>500.33503379999996</v>
      </c>
      <c r="F63" s="7">
        <f t="shared" si="1"/>
        <v>1354.8149662000001</v>
      </c>
      <c r="G63" s="1">
        <v>927.577</v>
      </c>
      <c r="H63" s="1">
        <v>463.78899999999999</v>
      </c>
      <c r="I63" s="1">
        <v>3246.52</v>
      </c>
    </row>
    <row r="64" spans="1:9" x14ac:dyDescent="0.25">
      <c r="A64" s="1" t="s">
        <v>7</v>
      </c>
      <c r="B64" s="1">
        <v>3</v>
      </c>
      <c r="C64" s="1">
        <v>1079.7950000000001</v>
      </c>
      <c r="D64" s="1">
        <v>3239.39</v>
      </c>
      <c r="E64" s="7">
        <f t="shared" si="0"/>
        <v>582.44142299999999</v>
      </c>
      <c r="F64" s="7">
        <f t="shared" si="1"/>
        <v>2656.9485770000001</v>
      </c>
      <c r="G64" s="1">
        <v>1619.693</v>
      </c>
      <c r="H64" s="1">
        <v>809.846</v>
      </c>
      <c r="I64" s="1">
        <v>5668.93</v>
      </c>
    </row>
    <row r="65" spans="1:9" x14ac:dyDescent="0.25">
      <c r="A65" s="1" t="s">
        <v>7</v>
      </c>
      <c r="B65" s="1">
        <v>3</v>
      </c>
      <c r="C65" s="1">
        <v>511.233</v>
      </c>
      <c r="D65" s="1">
        <v>1533.7</v>
      </c>
      <c r="E65" s="7">
        <f t="shared" si="0"/>
        <v>275.75908019999997</v>
      </c>
      <c r="F65" s="7">
        <f t="shared" si="1"/>
        <v>1257.9409198000001</v>
      </c>
      <c r="G65" s="1">
        <v>766.85</v>
      </c>
      <c r="H65" s="1">
        <v>383.42500000000001</v>
      </c>
      <c r="I65" s="1">
        <v>2683.98</v>
      </c>
    </row>
    <row r="66" spans="1:9" x14ac:dyDescent="0.25">
      <c r="A66" s="1" t="s">
        <v>7</v>
      </c>
      <c r="B66" s="1">
        <v>3</v>
      </c>
      <c r="C66" s="1">
        <v>1011.7910000000001</v>
      </c>
      <c r="D66" s="1">
        <v>3035.37</v>
      </c>
      <c r="E66" s="7">
        <f t="shared" si="0"/>
        <v>545.76006540000003</v>
      </c>
      <c r="F66" s="7">
        <f t="shared" si="1"/>
        <v>2489.6099346000001</v>
      </c>
      <c r="G66" s="1">
        <v>1517.6869999999999</v>
      </c>
      <c r="H66" s="1">
        <v>758.84299999999996</v>
      </c>
      <c r="I66" s="1">
        <v>5311.9</v>
      </c>
    </row>
    <row r="67" spans="1:9" x14ac:dyDescent="0.25">
      <c r="A67" s="1" t="s">
        <v>7</v>
      </c>
      <c r="B67" s="1">
        <v>2</v>
      </c>
      <c r="C67" s="1">
        <v>466.06700000000001</v>
      </c>
      <c r="D67" s="1">
        <v>932.13</v>
      </c>
      <c r="E67" s="7">
        <f t="shared" ref="E67:E130" si="2">$J$2/1000*C67</f>
        <v>251.3965398</v>
      </c>
      <c r="F67" s="7">
        <f t="shared" ref="F67:F130" si="3">D67-E67</f>
        <v>680.73346019999997</v>
      </c>
      <c r="G67" s="1">
        <v>466.06700000000001</v>
      </c>
      <c r="H67" s="1">
        <v>233.03399999999999</v>
      </c>
      <c r="I67" s="1">
        <v>1631.23</v>
      </c>
    </row>
    <row r="68" spans="1:9" x14ac:dyDescent="0.25">
      <c r="A68" s="1" t="s">
        <v>7</v>
      </c>
      <c r="B68" s="1">
        <v>2</v>
      </c>
      <c r="C68" s="1">
        <v>311.87799999999999</v>
      </c>
      <c r="D68" s="1">
        <v>623.76</v>
      </c>
      <c r="E68" s="7">
        <f t="shared" si="2"/>
        <v>168.22699319999998</v>
      </c>
      <c r="F68" s="7">
        <f t="shared" si="3"/>
        <v>455.53300680000001</v>
      </c>
      <c r="G68" s="1">
        <v>311.87799999999999</v>
      </c>
      <c r="H68" s="1">
        <v>155.93899999999999</v>
      </c>
      <c r="I68" s="1">
        <v>1091.58</v>
      </c>
    </row>
    <row r="69" spans="1:9" x14ac:dyDescent="0.25">
      <c r="A69" s="1" t="s">
        <v>7</v>
      </c>
      <c r="B69" s="1">
        <v>2</v>
      </c>
      <c r="C69" s="1">
        <v>433.40600000000001</v>
      </c>
      <c r="D69" s="1">
        <v>866.81</v>
      </c>
      <c r="E69" s="7">
        <f t="shared" si="2"/>
        <v>233.77919639999999</v>
      </c>
      <c r="F69" s="7">
        <f t="shared" si="3"/>
        <v>633.0308035999999</v>
      </c>
      <c r="G69" s="1">
        <v>433.40600000000001</v>
      </c>
      <c r="H69" s="1">
        <v>216.703</v>
      </c>
      <c r="I69" s="1">
        <v>1516.92</v>
      </c>
    </row>
    <row r="70" spans="1:9" x14ac:dyDescent="0.25">
      <c r="A70" s="1" t="s">
        <v>7</v>
      </c>
      <c r="B70" s="1">
        <v>2</v>
      </c>
      <c r="C70" s="1">
        <v>1342.0160000000001</v>
      </c>
      <c r="D70" s="1">
        <v>2684.03</v>
      </c>
      <c r="E70" s="7">
        <f t="shared" si="2"/>
        <v>723.88343040000007</v>
      </c>
      <c r="F70" s="7">
        <f t="shared" si="3"/>
        <v>1960.1465696</v>
      </c>
      <c r="G70" s="1">
        <v>1342.0160000000001</v>
      </c>
      <c r="H70" s="1">
        <v>671.00800000000004</v>
      </c>
      <c r="I70" s="1">
        <v>4697.05</v>
      </c>
    </row>
    <row r="71" spans="1:9" x14ac:dyDescent="0.25">
      <c r="A71" s="1" t="s">
        <v>7</v>
      </c>
      <c r="B71" s="1">
        <v>3</v>
      </c>
      <c r="C71" s="1">
        <v>4918.4470000000001</v>
      </c>
      <c r="D71" s="1">
        <v>14755.34</v>
      </c>
      <c r="E71" s="7">
        <f t="shared" si="2"/>
        <v>2653.0103118000002</v>
      </c>
      <c r="F71" s="7">
        <f t="shared" si="3"/>
        <v>12102.3296882</v>
      </c>
      <c r="G71" s="1">
        <v>7377.6710000000003</v>
      </c>
      <c r="H71" s="1">
        <v>3688.835</v>
      </c>
      <c r="I71" s="1">
        <v>25821.85</v>
      </c>
    </row>
    <row r="72" spans="1:9" x14ac:dyDescent="0.25">
      <c r="A72" s="1" t="s">
        <v>7</v>
      </c>
      <c r="B72" s="1">
        <v>2</v>
      </c>
      <c r="C72" s="1">
        <v>1022.015</v>
      </c>
      <c r="D72" s="1">
        <v>2044.03</v>
      </c>
      <c r="E72" s="7">
        <f t="shared" si="2"/>
        <v>551.27489100000003</v>
      </c>
      <c r="F72" s="7">
        <f t="shared" si="3"/>
        <v>1492.7551089999999</v>
      </c>
      <c r="G72" s="1">
        <v>1022.015</v>
      </c>
      <c r="H72" s="1">
        <v>511.00799999999998</v>
      </c>
      <c r="I72" s="1">
        <v>3577.05</v>
      </c>
    </row>
    <row r="73" spans="1:9" x14ac:dyDescent="0.25">
      <c r="A73" s="1" t="s">
        <v>7</v>
      </c>
      <c r="B73" s="1">
        <v>2</v>
      </c>
      <c r="C73" s="1">
        <v>3087.306</v>
      </c>
      <c r="D73" s="1">
        <v>6174.61</v>
      </c>
      <c r="E73" s="7">
        <f t="shared" si="2"/>
        <v>1665.2928563999999</v>
      </c>
      <c r="F73" s="7">
        <f t="shared" si="3"/>
        <v>4509.3171435999993</v>
      </c>
      <c r="G73" s="1">
        <v>3087.306</v>
      </c>
      <c r="H73" s="1">
        <v>1543.653</v>
      </c>
      <c r="I73" s="1">
        <v>10805.57</v>
      </c>
    </row>
    <row r="74" spans="1:9" x14ac:dyDescent="0.25">
      <c r="A74" s="1" t="s">
        <v>7</v>
      </c>
      <c r="B74" s="1">
        <v>2</v>
      </c>
      <c r="C74" s="1">
        <v>3789.1790000000001</v>
      </c>
      <c r="D74" s="1">
        <v>7578.36</v>
      </c>
      <c r="E74" s="7">
        <f t="shared" si="2"/>
        <v>2043.8831525999999</v>
      </c>
      <c r="F74" s="7">
        <f t="shared" si="3"/>
        <v>5534.4768473999993</v>
      </c>
      <c r="G74" s="1">
        <v>3789.1790000000001</v>
      </c>
      <c r="H74" s="1">
        <v>1894.59</v>
      </c>
      <c r="I74" s="1">
        <v>13262.13</v>
      </c>
    </row>
    <row r="75" spans="1:9" x14ac:dyDescent="0.25">
      <c r="A75" s="1" t="s">
        <v>7</v>
      </c>
      <c r="B75" s="1">
        <v>2</v>
      </c>
      <c r="C75" s="1">
        <v>683.63300000000004</v>
      </c>
      <c r="D75" s="1">
        <v>1367.27</v>
      </c>
      <c r="E75" s="7">
        <f t="shared" si="2"/>
        <v>368.7516402</v>
      </c>
      <c r="F75" s="7">
        <f t="shared" si="3"/>
        <v>998.51835979999998</v>
      </c>
      <c r="G75" s="1">
        <v>683.63300000000004</v>
      </c>
      <c r="H75" s="1">
        <v>341.81700000000001</v>
      </c>
      <c r="I75" s="1">
        <v>2392.7199999999998</v>
      </c>
    </row>
    <row r="76" spans="1:9" x14ac:dyDescent="0.25">
      <c r="A76" s="1" t="s">
        <v>7</v>
      </c>
      <c r="B76" s="1">
        <v>2</v>
      </c>
      <c r="C76" s="1">
        <v>395.22399999999999</v>
      </c>
      <c r="D76" s="1">
        <v>790.45</v>
      </c>
      <c r="E76" s="7">
        <f t="shared" si="2"/>
        <v>213.18382559999998</v>
      </c>
      <c r="F76" s="7">
        <f t="shared" si="3"/>
        <v>577.26617440000007</v>
      </c>
      <c r="G76" s="1">
        <v>395.22399999999999</v>
      </c>
      <c r="H76" s="1">
        <v>197.61199999999999</v>
      </c>
      <c r="I76" s="1">
        <v>1383.29</v>
      </c>
    </row>
    <row r="77" spans="1:9" x14ac:dyDescent="0.25">
      <c r="A77" s="1" t="s">
        <v>7</v>
      </c>
      <c r="B77" s="1">
        <v>2</v>
      </c>
      <c r="C77" s="1">
        <v>410.40199999999999</v>
      </c>
      <c r="D77" s="1">
        <v>820.8</v>
      </c>
      <c r="E77" s="7">
        <f t="shared" si="2"/>
        <v>221.3708388</v>
      </c>
      <c r="F77" s="7">
        <f t="shared" si="3"/>
        <v>599.42916119999995</v>
      </c>
      <c r="G77" s="1">
        <v>410.40199999999999</v>
      </c>
      <c r="H77" s="1">
        <v>205.20099999999999</v>
      </c>
      <c r="I77" s="1">
        <v>1436.4</v>
      </c>
    </row>
    <row r="78" spans="1:9" x14ac:dyDescent="0.25">
      <c r="A78" s="1" t="s">
        <v>7</v>
      </c>
      <c r="B78" s="1">
        <v>2</v>
      </c>
      <c r="C78" s="1">
        <v>130.62700000000001</v>
      </c>
      <c r="D78" s="1">
        <v>261.25</v>
      </c>
      <c r="E78" s="7">
        <f t="shared" si="2"/>
        <v>70.460203800000002</v>
      </c>
      <c r="F78" s="7">
        <f t="shared" si="3"/>
        <v>190.78979620000001</v>
      </c>
      <c r="G78" s="1">
        <v>130.62700000000001</v>
      </c>
      <c r="H78" s="1">
        <v>65.313999999999993</v>
      </c>
      <c r="I78" s="1">
        <v>457.19</v>
      </c>
    </row>
    <row r="79" spans="1:9" x14ac:dyDescent="0.25">
      <c r="A79" s="1" t="s">
        <v>7</v>
      </c>
      <c r="B79" s="1">
        <v>2</v>
      </c>
      <c r="C79" s="1">
        <v>123.34699999999999</v>
      </c>
      <c r="D79" s="1">
        <v>246.69</v>
      </c>
      <c r="E79" s="7">
        <f t="shared" si="2"/>
        <v>66.533371799999998</v>
      </c>
      <c r="F79" s="7">
        <f t="shared" si="3"/>
        <v>180.1566282</v>
      </c>
      <c r="G79" s="1">
        <v>123.34699999999999</v>
      </c>
      <c r="H79" s="1">
        <v>61.673999999999999</v>
      </c>
      <c r="I79" s="1">
        <v>431.71</v>
      </c>
    </row>
    <row r="80" spans="1:9" x14ac:dyDescent="0.25">
      <c r="A80" s="1" t="s">
        <v>7</v>
      </c>
      <c r="B80" s="1">
        <v>2</v>
      </c>
      <c r="C80" s="1">
        <v>228.95699999999999</v>
      </c>
      <c r="D80" s="1">
        <v>457.91</v>
      </c>
      <c r="E80" s="7">
        <f t="shared" si="2"/>
        <v>123.49940579999999</v>
      </c>
      <c r="F80" s="7">
        <f t="shared" si="3"/>
        <v>334.41059420000005</v>
      </c>
      <c r="G80" s="1">
        <v>228.95699999999999</v>
      </c>
      <c r="H80" s="1">
        <v>114.479</v>
      </c>
      <c r="I80" s="1">
        <v>801.35</v>
      </c>
    </row>
    <row r="81" spans="1:9" x14ac:dyDescent="0.25">
      <c r="A81" s="1" t="s">
        <v>7</v>
      </c>
      <c r="B81" s="1">
        <v>3</v>
      </c>
      <c r="C81" s="1">
        <v>1194.037</v>
      </c>
      <c r="D81" s="1">
        <v>3582.11</v>
      </c>
      <c r="E81" s="7">
        <f t="shared" si="2"/>
        <v>644.06355780000001</v>
      </c>
      <c r="F81" s="7">
        <f t="shared" si="3"/>
        <v>2938.0464422</v>
      </c>
      <c r="G81" s="1">
        <v>1791.056</v>
      </c>
      <c r="H81" s="1">
        <v>895.52800000000002</v>
      </c>
      <c r="I81" s="1">
        <v>6268.69</v>
      </c>
    </row>
    <row r="82" spans="1:9" x14ac:dyDescent="0.25">
      <c r="A82" s="1" t="s">
        <v>7</v>
      </c>
      <c r="B82" s="1">
        <v>2</v>
      </c>
      <c r="C82" s="1">
        <v>499.5</v>
      </c>
      <c r="D82" s="1">
        <v>999</v>
      </c>
      <c r="E82" s="7">
        <f t="shared" si="2"/>
        <v>269.43029999999999</v>
      </c>
      <c r="F82" s="7">
        <f t="shared" si="3"/>
        <v>729.56970000000001</v>
      </c>
      <c r="G82" s="1">
        <v>499.5</v>
      </c>
      <c r="H82" s="1">
        <v>249.75</v>
      </c>
      <c r="I82" s="1">
        <v>1748.25</v>
      </c>
    </row>
    <row r="83" spans="1:9" x14ac:dyDescent="0.25">
      <c r="A83" s="1" t="s">
        <v>7</v>
      </c>
      <c r="B83" s="1">
        <v>2</v>
      </c>
      <c r="C83" s="1">
        <v>626.18700000000001</v>
      </c>
      <c r="D83" s="1">
        <v>1252.3699999999999</v>
      </c>
      <c r="E83" s="7">
        <f t="shared" si="2"/>
        <v>337.7652678</v>
      </c>
      <c r="F83" s="7">
        <f t="shared" si="3"/>
        <v>914.60473219999994</v>
      </c>
      <c r="G83" s="1">
        <v>626.18700000000001</v>
      </c>
      <c r="H83" s="1">
        <v>313.09399999999999</v>
      </c>
      <c r="I83" s="1">
        <v>2191.65</v>
      </c>
    </row>
    <row r="84" spans="1:9" x14ac:dyDescent="0.25">
      <c r="A84" s="1" t="s">
        <v>7</v>
      </c>
      <c r="B84" s="1">
        <v>3</v>
      </c>
      <c r="C84" s="1">
        <v>594.697</v>
      </c>
      <c r="D84" s="1">
        <v>1784.09</v>
      </c>
      <c r="E84" s="7">
        <f t="shared" si="2"/>
        <v>320.77956180000001</v>
      </c>
      <c r="F84" s="7">
        <f t="shared" si="3"/>
        <v>1463.3104381999999</v>
      </c>
      <c r="G84" s="1">
        <v>892.04600000000005</v>
      </c>
      <c r="H84" s="1">
        <v>446.02300000000002</v>
      </c>
      <c r="I84" s="1">
        <v>3122.16</v>
      </c>
    </row>
    <row r="85" spans="1:9" x14ac:dyDescent="0.25">
      <c r="A85" s="1" t="s">
        <v>7</v>
      </c>
      <c r="B85" s="1">
        <v>3</v>
      </c>
      <c r="C85" s="1">
        <v>494.19299999999998</v>
      </c>
      <c r="D85" s="1">
        <v>1482.58</v>
      </c>
      <c r="E85" s="7">
        <f t="shared" si="2"/>
        <v>266.56770419999998</v>
      </c>
      <c r="F85" s="7">
        <f t="shared" si="3"/>
        <v>1216.0122957999999</v>
      </c>
      <c r="G85" s="1">
        <v>741.29</v>
      </c>
      <c r="H85" s="1">
        <v>370.64499999999998</v>
      </c>
      <c r="I85" s="1">
        <v>2594.52</v>
      </c>
    </row>
    <row r="86" spans="1:9" x14ac:dyDescent="0.25">
      <c r="A86" s="1" t="s">
        <v>7</v>
      </c>
      <c r="B86" s="1">
        <v>4</v>
      </c>
      <c r="C86" s="1">
        <v>2656.39</v>
      </c>
      <c r="D86" s="1">
        <v>10625.56</v>
      </c>
      <c r="E86" s="7">
        <f t="shared" si="2"/>
        <v>1432.8567659999999</v>
      </c>
      <c r="F86" s="7">
        <f t="shared" si="3"/>
        <v>9192.7032340000005</v>
      </c>
      <c r="G86" s="1">
        <v>5312.78</v>
      </c>
      <c r="H86" s="1">
        <v>2656.39</v>
      </c>
      <c r="I86" s="1">
        <v>18594.73</v>
      </c>
    </row>
    <row r="87" spans="1:9" x14ac:dyDescent="0.25">
      <c r="A87" s="1" t="s">
        <v>7</v>
      </c>
      <c r="B87" s="1">
        <v>4</v>
      </c>
      <c r="C87" s="1">
        <v>2304.8789999999999</v>
      </c>
      <c r="D87" s="1">
        <v>9219.52</v>
      </c>
      <c r="E87" s="7">
        <f t="shared" si="2"/>
        <v>1243.2517326</v>
      </c>
      <c r="F87" s="7">
        <f t="shared" si="3"/>
        <v>7976.2682674000007</v>
      </c>
      <c r="G87" s="1">
        <v>4609.7579999999998</v>
      </c>
      <c r="H87" s="1">
        <v>2304.8789999999999</v>
      </c>
      <c r="I87" s="1">
        <v>16134.16</v>
      </c>
    </row>
    <row r="88" spans="1:9" x14ac:dyDescent="0.25">
      <c r="A88" s="1" t="s">
        <v>7</v>
      </c>
      <c r="B88" s="1">
        <v>2</v>
      </c>
      <c r="C88" s="1">
        <v>1020.664</v>
      </c>
      <c r="D88" s="1">
        <v>2041.33</v>
      </c>
      <c r="E88" s="7">
        <f t="shared" si="2"/>
        <v>550.5461616</v>
      </c>
      <c r="F88" s="7">
        <f t="shared" si="3"/>
        <v>1490.7838383999999</v>
      </c>
      <c r="G88" s="1">
        <v>1020.664</v>
      </c>
      <c r="H88" s="1">
        <v>510.33199999999999</v>
      </c>
      <c r="I88" s="1">
        <v>3572.33</v>
      </c>
    </row>
    <row r="89" spans="1:9" x14ac:dyDescent="0.25">
      <c r="A89" s="1" t="s">
        <v>7</v>
      </c>
      <c r="B89" s="1">
        <v>2</v>
      </c>
      <c r="C89" s="1">
        <v>622.09400000000005</v>
      </c>
      <c r="D89" s="1">
        <v>1244.19</v>
      </c>
      <c r="E89" s="7">
        <f t="shared" si="2"/>
        <v>335.55750360000002</v>
      </c>
      <c r="F89" s="7">
        <f t="shared" si="3"/>
        <v>908.63249640000004</v>
      </c>
      <c r="G89" s="1">
        <v>622.09400000000005</v>
      </c>
      <c r="H89" s="1">
        <v>311.04700000000003</v>
      </c>
      <c r="I89" s="1">
        <v>2177.33</v>
      </c>
    </row>
    <row r="90" spans="1:9" x14ac:dyDescent="0.25">
      <c r="A90" s="1" t="s">
        <v>7</v>
      </c>
      <c r="B90" s="1">
        <v>3</v>
      </c>
      <c r="C90" s="1">
        <v>600.35</v>
      </c>
      <c r="D90" s="1">
        <v>1801.05</v>
      </c>
      <c r="E90" s="7">
        <f t="shared" si="2"/>
        <v>323.82879000000003</v>
      </c>
      <c r="F90" s="7">
        <f t="shared" si="3"/>
        <v>1477.2212099999999</v>
      </c>
      <c r="G90" s="1">
        <v>900.52499999999998</v>
      </c>
      <c r="H90" s="1">
        <v>450.26299999999998</v>
      </c>
      <c r="I90" s="1">
        <v>3151.84</v>
      </c>
    </row>
    <row r="91" spans="1:9" x14ac:dyDescent="0.25">
      <c r="A91" s="1" t="s">
        <v>7</v>
      </c>
      <c r="B91" s="1">
        <v>3</v>
      </c>
      <c r="C91" s="1">
        <v>1934.809</v>
      </c>
      <c r="D91" s="1">
        <v>5804.43</v>
      </c>
      <c r="E91" s="7">
        <f t="shared" si="2"/>
        <v>1043.6359746000001</v>
      </c>
      <c r="F91" s="7">
        <f t="shared" si="3"/>
        <v>4760.7940254000005</v>
      </c>
      <c r="G91" s="1">
        <v>2902.2139999999999</v>
      </c>
      <c r="H91" s="1">
        <v>1451.107</v>
      </c>
      <c r="I91" s="1">
        <v>10157.75</v>
      </c>
    </row>
    <row r="92" spans="1:9" x14ac:dyDescent="0.25">
      <c r="A92" s="1" t="s">
        <v>7</v>
      </c>
      <c r="B92" s="1">
        <v>3</v>
      </c>
      <c r="C92" s="1">
        <v>794.23699999999997</v>
      </c>
      <c r="D92" s="1">
        <v>2382.71</v>
      </c>
      <c r="E92" s="7">
        <f t="shared" si="2"/>
        <v>428.41143779999999</v>
      </c>
      <c r="F92" s="7">
        <f t="shared" si="3"/>
        <v>1954.2985622000001</v>
      </c>
      <c r="G92" s="1">
        <v>1191.356</v>
      </c>
      <c r="H92" s="1">
        <v>595.678</v>
      </c>
      <c r="I92" s="1">
        <v>4169.74</v>
      </c>
    </row>
    <row r="93" spans="1:9" x14ac:dyDescent="0.25">
      <c r="A93" s="1" t="s">
        <v>7</v>
      </c>
      <c r="B93" s="1">
        <v>3</v>
      </c>
      <c r="C93" s="1">
        <v>2169.5700000000002</v>
      </c>
      <c r="D93" s="1">
        <v>6508.71</v>
      </c>
      <c r="E93" s="7">
        <f t="shared" si="2"/>
        <v>1170.2660580000002</v>
      </c>
      <c r="F93" s="7">
        <f t="shared" si="3"/>
        <v>5338.4439419999999</v>
      </c>
      <c r="G93" s="1">
        <v>3254.355</v>
      </c>
      <c r="H93" s="1">
        <v>1627.1780000000001</v>
      </c>
      <c r="I93" s="1">
        <v>11390.24</v>
      </c>
    </row>
    <row r="94" spans="1:9" x14ac:dyDescent="0.25">
      <c r="A94" s="1" t="s">
        <v>7</v>
      </c>
      <c r="B94" s="1">
        <v>5</v>
      </c>
      <c r="C94" s="1">
        <v>4423.6080000000002</v>
      </c>
      <c r="D94" s="1">
        <v>22118.04</v>
      </c>
      <c r="E94" s="7">
        <f t="shared" si="2"/>
        <v>2386.0941551999999</v>
      </c>
      <c r="F94" s="7">
        <f t="shared" si="3"/>
        <v>19731.9458448</v>
      </c>
      <c r="G94" s="1">
        <v>11059.02</v>
      </c>
      <c r="H94" s="1">
        <v>5529.51</v>
      </c>
      <c r="I94" s="1">
        <v>38706.57</v>
      </c>
    </row>
    <row r="95" spans="1:9" x14ac:dyDescent="0.25">
      <c r="A95" s="1" t="s">
        <v>7</v>
      </c>
      <c r="B95" s="1">
        <v>4</v>
      </c>
      <c r="C95" s="1">
        <v>961.45500000000004</v>
      </c>
      <c r="D95" s="1">
        <v>3845.82</v>
      </c>
      <c r="E95" s="7">
        <f t="shared" si="2"/>
        <v>518.60882700000002</v>
      </c>
      <c r="F95" s="7">
        <f t="shared" si="3"/>
        <v>3327.2111730000001</v>
      </c>
      <c r="G95" s="1">
        <v>1922.91</v>
      </c>
      <c r="H95" s="1">
        <v>961.45500000000004</v>
      </c>
      <c r="I95" s="1">
        <v>6730.19</v>
      </c>
    </row>
    <row r="96" spans="1:9" x14ac:dyDescent="0.25">
      <c r="A96" s="1" t="s">
        <v>7</v>
      </c>
      <c r="B96" s="1">
        <v>3</v>
      </c>
      <c r="C96" s="1">
        <v>2185.7629999999999</v>
      </c>
      <c r="D96" s="1">
        <v>6557.29</v>
      </c>
      <c r="E96" s="7">
        <f t="shared" si="2"/>
        <v>1179.0005621999999</v>
      </c>
      <c r="F96" s="7">
        <f t="shared" si="3"/>
        <v>5378.2894378000001</v>
      </c>
      <c r="G96" s="1">
        <v>3278.645</v>
      </c>
      <c r="H96" s="1">
        <v>1639.3219999999999</v>
      </c>
      <c r="I96" s="1">
        <v>11475.26</v>
      </c>
    </row>
    <row r="97" spans="1:9" x14ac:dyDescent="0.25">
      <c r="A97" s="1" t="s">
        <v>7</v>
      </c>
      <c r="B97" s="1">
        <v>2</v>
      </c>
      <c r="C97" s="1">
        <v>521.74199999999996</v>
      </c>
      <c r="D97" s="1">
        <v>1043.48</v>
      </c>
      <c r="E97" s="7">
        <f t="shared" si="2"/>
        <v>281.42763479999996</v>
      </c>
      <c r="F97" s="7">
        <f t="shared" si="3"/>
        <v>762.05236520000005</v>
      </c>
      <c r="G97" s="1">
        <v>521.74199999999996</v>
      </c>
      <c r="H97" s="1">
        <v>260.87099999999998</v>
      </c>
      <c r="I97" s="1">
        <v>1826.09</v>
      </c>
    </row>
    <row r="98" spans="1:9" x14ac:dyDescent="0.25">
      <c r="A98" s="1" t="s">
        <v>7</v>
      </c>
      <c r="B98" s="1">
        <v>4</v>
      </c>
      <c r="C98" s="1">
        <v>715.22400000000005</v>
      </c>
      <c r="D98" s="1">
        <v>2860.9</v>
      </c>
      <c r="E98" s="7">
        <f t="shared" si="2"/>
        <v>385.79182560000004</v>
      </c>
      <c r="F98" s="7">
        <f t="shared" si="3"/>
        <v>2475.1081744000003</v>
      </c>
      <c r="G98" s="1">
        <v>1430.4480000000001</v>
      </c>
      <c r="H98" s="1">
        <v>715.22400000000005</v>
      </c>
      <c r="I98" s="1">
        <v>5006.57</v>
      </c>
    </row>
    <row r="99" spans="1:9" x14ac:dyDescent="0.25">
      <c r="A99" s="1" t="s">
        <v>7</v>
      </c>
      <c r="B99" s="1">
        <v>2</v>
      </c>
      <c r="C99" s="1">
        <v>535.79899999999998</v>
      </c>
      <c r="D99" s="1">
        <v>1071.5999999999999</v>
      </c>
      <c r="E99" s="7">
        <f t="shared" si="2"/>
        <v>289.00998060000001</v>
      </c>
      <c r="F99" s="7">
        <f t="shared" si="3"/>
        <v>782.59001939999985</v>
      </c>
      <c r="G99" s="1">
        <v>535.79899999999998</v>
      </c>
      <c r="H99" s="1">
        <v>267.89999999999998</v>
      </c>
      <c r="I99" s="1">
        <v>1875.3</v>
      </c>
    </row>
    <row r="100" spans="1:9" x14ac:dyDescent="0.25">
      <c r="A100" s="1" t="s">
        <v>7</v>
      </c>
      <c r="B100" s="1">
        <v>2</v>
      </c>
      <c r="C100" s="1">
        <v>426.30900000000003</v>
      </c>
      <c r="D100" s="1">
        <v>852.62</v>
      </c>
      <c r="E100" s="7">
        <f t="shared" si="2"/>
        <v>229.9510746</v>
      </c>
      <c r="F100" s="7">
        <f t="shared" si="3"/>
        <v>622.66892540000003</v>
      </c>
      <c r="G100" s="1">
        <v>426.30900000000003</v>
      </c>
      <c r="H100" s="1">
        <v>213.155</v>
      </c>
      <c r="I100" s="1">
        <v>1492.08</v>
      </c>
    </row>
    <row r="101" spans="1:9" x14ac:dyDescent="0.25">
      <c r="A101" s="1" t="s">
        <v>7</v>
      </c>
      <c r="B101" s="1">
        <v>3</v>
      </c>
      <c r="C101" s="1">
        <v>1256.681</v>
      </c>
      <c r="D101" s="1">
        <v>3770.04</v>
      </c>
      <c r="E101" s="7">
        <f t="shared" si="2"/>
        <v>677.85373140000002</v>
      </c>
      <c r="F101" s="7">
        <f t="shared" si="3"/>
        <v>3092.1862685999999</v>
      </c>
      <c r="G101" s="1">
        <v>1885.0219999999999</v>
      </c>
      <c r="H101" s="1">
        <v>942.51099999999997</v>
      </c>
      <c r="I101" s="1">
        <v>6597.57</v>
      </c>
    </row>
    <row r="102" spans="1:9" x14ac:dyDescent="0.25">
      <c r="A102" s="1" t="s">
        <v>7</v>
      </c>
      <c r="B102" s="1">
        <v>4</v>
      </c>
      <c r="C102" s="1">
        <v>3003.681</v>
      </c>
      <c r="D102" s="1">
        <v>12014.72</v>
      </c>
      <c r="E102" s="7">
        <f t="shared" si="2"/>
        <v>1620.1855313999999</v>
      </c>
      <c r="F102" s="7">
        <f t="shared" si="3"/>
        <v>10394.534468599999</v>
      </c>
      <c r="G102" s="1">
        <v>6007.3620000000001</v>
      </c>
      <c r="H102" s="1">
        <v>3003.681</v>
      </c>
      <c r="I102" s="1">
        <v>21025.759999999998</v>
      </c>
    </row>
    <row r="103" spans="1:9" x14ac:dyDescent="0.25">
      <c r="A103" s="1" t="s">
        <v>7</v>
      </c>
      <c r="B103" s="1">
        <v>2</v>
      </c>
      <c r="C103" s="1">
        <v>588.20600000000002</v>
      </c>
      <c r="D103" s="1">
        <v>1176.4100000000001</v>
      </c>
      <c r="E103" s="7">
        <f t="shared" si="2"/>
        <v>317.27831639999999</v>
      </c>
      <c r="F103" s="7">
        <f t="shared" si="3"/>
        <v>859.13168360000009</v>
      </c>
      <c r="G103" s="1">
        <v>588.20600000000002</v>
      </c>
      <c r="H103" s="1">
        <v>294.10300000000001</v>
      </c>
      <c r="I103" s="1">
        <v>2058.7199999999998</v>
      </c>
    </row>
    <row r="104" spans="1:9" x14ac:dyDescent="0.25">
      <c r="A104" s="1" t="s">
        <v>7</v>
      </c>
      <c r="B104" s="1">
        <v>2.5</v>
      </c>
      <c r="C104" s="1">
        <v>616.93600000000004</v>
      </c>
      <c r="D104" s="1">
        <v>1542.34</v>
      </c>
      <c r="E104" s="7">
        <f t="shared" si="2"/>
        <v>332.77527839999999</v>
      </c>
      <c r="F104" s="7">
        <f t="shared" si="3"/>
        <v>1209.5647216</v>
      </c>
      <c r="G104" s="1">
        <v>771.17</v>
      </c>
      <c r="H104" s="1">
        <v>385.58499999999998</v>
      </c>
      <c r="I104" s="1">
        <v>2699.1</v>
      </c>
    </row>
    <row r="105" spans="1:9" x14ac:dyDescent="0.25">
      <c r="A105" s="1" t="s">
        <v>7</v>
      </c>
      <c r="B105" s="1">
        <v>2</v>
      </c>
      <c r="C105" s="1">
        <v>209.15899999999999</v>
      </c>
      <c r="D105" s="1">
        <v>418.32</v>
      </c>
      <c r="E105" s="7">
        <f t="shared" si="2"/>
        <v>112.82036459999999</v>
      </c>
      <c r="F105" s="7">
        <f t="shared" si="3"/>
        <v>305.49963539999999</v>
      </c>
      <c r="G105" s="1">
        <v>209.15899999999999</v>
      </c>
      <c r="H105" s="1">
        <v>104.58</v>
      </c>
      <c r="I105" s="1">
        <v>732.06</v>
      </c>
    </row>
    <row r="106" spans="1:9" x14ac:dyDescent="0.25">
      <c r="A106" s="1" t="s">
        <v>7</v>
      </c>
      <c r="B106" s="1">
        <v>3</v>
      </c>
      <c r="C106" s="1">
        <v>2055.5569999999998</v>
      </c>
      <c r="D106" s="1">
        <v>6166.67</v>
      </c>
      <c r="E106" s="7">
        <f t="shared" si="2"/>
        <v>1108.7674457999999</v>
      </c>
      <c r="F106" s="7">
        <f t="shared" si="3"/>
        <v>5057.9025541999999</v>
      </c>
      <c r="G106" s="1">
        <v>3083.335</v>
      </c>
      <c r="H106" s="1">
        <v>1541.6679999999999</v>
      </c>
      <c r="I106" s="1">
        <v>10791.67</v>
      </c>
    </row>
    <row r="107" spans="1:9" x14ac:dyDescent="0.25">
      <c r="A107" s="1" t="s">
        <v>7</v>
      </c>
      <c r="B107" s="1">
        <v>3</v>
      </c>
      <c r="C107" s="1">
        <v>697.63099999999997</v>
      </c>
      <c r="D107" s="1">
        <v>2092.89</v>
      </c>
      <c r="E107" s="7">
        <f t="shared" si="2"/>
        <v>376.30216139999999</v>
      </c>
      <c r="F107" s="7">
        <f t="shared" si="3"/>
        <v>1716.5878385999999</v>
      </c>
      <c r="G107" s="1">
        <v>1046.4469999999999</v>
      </c>
      <c r="H107" s="1">
        <v>523.22299999999996</v>
      </c>
      <c r="I107" s="1">
        <v>3662.56</v>
      </c>
    </row>
    <row r="108" spans="1:9" x14ac:dyDescent="0.25">
      <c r="A108" s="1" t="s">
        <v>7</v>
      </c>
      <c r="B108" s="1">
        <v>4</v>
      </c>
      <c r="C108" s="1">
        <v>1922.7529999999999</v>
      </c>
      <c r="D108" s="1">
        <v>7691.01</v>
      </c>
      <c r="E108" s="7">
        <f t="shared" si="2"/>
        <v>1037.1329682000001</v>
      </c>
      <c r="F108" s="7">
        <f t="shared" si="3"/>
        <v>6653.8770318000006</v>
      </c>
      <c r="G108" s="1">
        <v>3845.5059999999999</v>
      </c>
      <c r="H108" s="1">
        <v>1922.7529999999999</v>
      </c>
      <c r="I108" s="1">
        <v>13459.27</v>
      </c>
    </row>
    <row r="109" spans="1:9" x14ac:dyDescent="0.25">
      <c r="A109" s="1" t="s">
        <v>7</v>
      </c>
      <c r="B109" s="1">
        <v>2</v>
      </c>
      <c r="C109" s="1">
        <v>488.44299999999998</v>
      </c>
      <c r="D109" s="1">
        <v>976.89</v>
      </c>
      <c r="E109" s="7">
        <f t="shared" si="2"/>
        <v>263.46615420000001</v>
      </c>
      <c r="F109" s="7">
        <f t="shared" si="3"/>
        <v>713.42384579999998</v>
      </c>
      <c r="G109" s="1">
        <v>488.44299999999998</v>
      </c>
      <c r="H109" s="1">
        <v>244.22200000000001</v>
      </c>
      <c r="I109" s="1">
        <v>1709.56</v>
      </c>
    </row>
    <row r="110" spans="1:9" x14ac:dyDescent="0.25">
      <c r="A110" s="1" t="s">
        <v>7</v>
      </c>
      <c r="B110" s="1">
        <v>3</v>
      </c>
      <c r="C110" s="1">
        <v>3089.5680000000002</v>
      </c>
      <c r="D110" s="1">
        <v>9268.7000000000007</v>
      </c>
      <c r="E110" s="7">
        <f t="shared" si="2"/>
        <v>1666.5129792</v>
      </c>
      <c r="F110" s="7">
        <f t="shared" si="3"/>
        <v>7602.1870208000009</v>
      </c>
      <c r="G110" s="1">
        <v>4634.3519999999999</v>
      </c>
      <c r="H110" s="1">
        <v>2317.1759999999999</v>
      </c>
      <c r="I110" s="1">
        <v>16220.23</v>
      </c>
    </row>
    <row r="111" spans="1:9" x14ac:dyDescent="0.25">
      <c r="A111" s="1" t="s">
        <v>7</v>
      </c>
      <c r="B111" s="1">
        <v>4</v>
      </c>
      <c r="C111" s="1">
        <v>3490.5210000000002</v>
      </c>
      <c r="D111" s="1">
        <v>13962.08</v>
      </c>
      <c r="E111" s="7">
        <f t="shared" si="2"/>
        <v>1882.7870274000002</v>
      </c>
      <c r="F111" s="7">
        <f t="shared" si="3"/>
        <v>12079.2929726</v>
      </c>
      <c r="G111" s="1">
        <v>6981.0420000000004</v>
      </c>
      <c r="H111" s="1">
        <v>3490.5210000000002</v>
      </c>
      <c r="I111" s="1">
        <v>24433.64</v>
      </c>
    </row>
    <row r="112" spans="1:9" x14ac:dyDescent="0.25">
      <c r="A112" s="1" t="s">
        <v>7</v>
      </c>
      <c r="B112" s="1">
        <v>2</v>
      </c>
      <c r="C112" s="1">
        <v>2215.0630000000001</v>
      </c>
      <c r="D112" s="1">
        <v>4430.13</v>
      </c>
      <c r="E112" s="7">
        <f t="shared" si="2"/>
        <v>1194.8049822</v>
      </c>
      <c r="F112" s="7">
        <f t="shared" si="3"/>
        <v>3235.3250177999998</v>
      </c>
      <c r="G112" s="1">
        <v>2215.0630000000001</v>
      </c>
      <c r="H112" s="1">
        <v>1107.5319999999999</v>
      </c>
      <c r="I112" s="1">
        <v>7752.73</v>
      </c>
    </row>
    <row r="113" spans="1:9" x14ac:dyDescent="0.25">
      <c r="A113" s="1" t="s">
        <v>7</v>
      </c>
      <c r="B113" s="1">
        <v>2</v>
      </c>
      <c r="C113" s="1">
        <v>1630.182</v>
      </c>
      <c r="D113" s="1">
        <v>3260.36</v>
      </c>
      <c r="E113" s="7">
        <f t="shared" si="2"/>
        <v>879.32017080000003</v>
      </c>
      <c r="F113" s="7">
        <f t="shared" si="3"/>
        <v>2381.0398292</v>
      </c>
      <c r="G113" s="1">
        <v>1630.182</v>
      </c>
      <c r="H113" s="1">
        <v>815.09100000000001</v>
      </c>
      <c r="I113" s="1">
        <v>5705.63</v>
      </c>
    </row>
    <row r="114" spans="1:9" x14ac:dyDescent="0.25">
      <c r="A114" s="1" t="s">
        <v>7</v>
      </c>
      <c r="B114" s="1">
        <v>2</v>
      </c>
      <c r="C114" s="1">
        <v>1570.492</v>
      </c>
      <c r="D114" s="1">
        <v>3140.98</v>
      </c>
      <c r="E114" s="7">
        <f t="shared" si="2"/>
        <v>847.12338479999994</v>
      </c>
      <c r="F114" s="7">
        <f t="shared" si="3"/>
        <v>2293.8566152000003</v>
      </c>
      <c r="G114" s="1">
        <v>1570.492</v>
      </c>
      <c r="H114" s="1">
        <v>785.24599999999998</v>
      </c>
      <c r="I114" s="1">
        <v>5496.72</v>
      </c>
    </row>
    <row r="115" spans="1:9" x14ac:dyDescent="0.25">
      <c r="A115" s="1" t="s">
        <v>7</v>
      </c>
      <c r="B115" s="1">
        <v>2</v>
      </c>
      <c r="C115" s="1">
        <v>1174.845</v>
      </c>
      <c r="D115" s="1">
        <v>2349.69</v>
      </c>
      <c r="E115" s="7">
        <f t="shared" si="2"/>
        <v>633.71139300000004</v>
      </c>
      <c r="F115" s="7">
        <f t="shared" si="3"/>
        <v>1715.978607</v>
      </c>
      <c r="G115" s="1">
        <v>1174.845</v>
      </c>
      <c r="H115" s="1">
        <v>587.423</v>
      </c>
      <c r="I115" s="1">
        <v>4111.96</v>
      </c>
    </row>
    <row r="116" spans="1:9" x14ac:dyDescent="0.25">
      <c r="A116" s="1" t="s">
        <v>7</v>
      </c>
      <c r="B116" s="1">
        <v>2</v>
      </c>
      <c r="C116" s="1">
        <v>3102.9259999999999</v>
      </c>
      <c r="D116" s="1">
        <v>6205.85</v>
      </c>
      <c r="E116" s="7">
        <f t="shared" si="2"/>
        <v>1673.7182843999999</v>
      </c>
      <c r="F116" s="7">
        <f t="shared" si="3"/>
        <v>4532.1317156000005</v>
      </c>
      <c r="G116" s="1">
        <v>3102.9259999999999</v>
      </c>
      <c r="H116" s="1">
        <v>1551.463</v>
      </c>
      <c r="I116" s="1">
        <v>10860.24</v>
      </c>
    </row>
    <row r="117" spans="1:9" x14ac:dyDescent="0.25">
      <c r="A117" s="1" t="s">
        <v>7</v>
      </c>
      <c r="B117" s="1">
        <v>2</v>
      </c>
      <c r="C117" s="1">
        <v>2262.846</v>
      </c>
      <c r="D117" s="1">
        <v>4525.6899999999996</v>
      </c>
      <c r="E117" s="7">
        <f t="shared" si="2"/>
        <v>1220.5791323999999</v>
      </c>
      <c r="F117" s="7">
        <f t="shared" si="3"/>
        <v>3305.1108675999994</v>
      </c>
      <c r="G117" s="1">
        <v>2262.846</v>
      </c>
      <c r="H117" s="1">
        <v>1131.423</v>
      </c>
      <c r="I117" s="1">
        <v>7919.96</v>
      </c>
    </row>
    <row r="118" spans="1:9" x14ac:dyDescent="0.25">
      <c r="A118" s="1" t="s">
        <v>7</v>
      </c>
      <c r="B118" s="1">
        <v>2</v>
      </c>
      <c r="C118" s="1">
        <v>2663.596</v>
      </c>
      <c r="D118" s="1">
        <v>5327.19</v>
      </c>
      <c r="E118" s="7">
        <f t="shared" si="2"/>
        <v>1436.7436823999999</v>
      </c>
      <c r="F118" s="7">
        <f t="shared" si="3"/>
        <v>3890.4463175999999</v>
      </c>
      <c r="G118" s="1">
        <v>2663.596</v>
      </c>
      <c r="H118" s="1">
        <v>1331.798</v>
      </c>
      <c r="I118" s="1">
        <v>9322.58</v>
      </c>
    </row>
    <row r="119" spans="1:9" x14ac:dyDescent="0.25">
      <c r="A119" s="1" t="s">
        <v>7</v>
      </c>
      <c r="B119" s="1">
        <v>3</v>
      </c>
      <c r="C119" s="1">
        <v>3538.5189999999998</v>
      </c>
      <c r="D119" s="1">
        <v>10615.56</v>
      </c>
      <c r="E119" s="7">
        <f t="shared" si="2"/>
        <v>1908.6771485999998</v>
      </c>
      <c r="F119" s="7">
        <f t="shared" si="3"/>
        <v>8706.8828513999997</v>
      </c>
      <c r="G119" s="1">
        <v>5307.7780000000002</v>
      </c>
      <c r="H119" s="1">
        <v>2653.8890000000001</v>
      </c>
      <c r="I119" s="1">
        <v>18577.23</v>
      </c>
    </row>
    <row r="120" spans="1:9" x14ac:dyDescent="0.25">
      <c r="A120" s="1" t="s">
        <v>7</v>
      </c>
      <c r="B120" s="1">
        <v>2</v>
      </c>
      <c r="C120" s="1">
        <v>1133.7</v>
      </c>
      <c r="D120" s="1">
        <v>2267.4</v>
      </c>
      <c r="E120" s="7">
        <f t="shared" si="2"/>
        <v>611.51778000000002</v>
      </c>
      <c r="F120" s="7">
        <f t="shared" si="3"/>
        <v>1655.88222</v>
      </c>
      <c r="G120" s="1">
        <v>1133.7</v>
      </c>
      <c r="H120" s="1">
        <v>566.85</v>
      </c>
      <c r="I120" s="1">
        <v>3967.95</v>
      </c>
    </row>
    <row r="121" spans="1:9" x14ac:dyDescent="0.25">
      <c r="A121" s="1" t="s">
        <v>7</v>
      </c>
      <c r="B121" s="1">
        <v>2</v>
      </c>
      <c r="C121" s="1">
        <v>816.76199999999994</v>
      </c>
      <c r="D121" s="1">
        <v>1633.52</v>
      </c>
      <c r="E121" s="7">
        <f t="shared" si="2"/>
        <v>440.56142279999995</v>
      </c>
      <c r="F121" s="7">
        <f t="shared" si="3"/>
        <v>1192.9585772</v>
      </c>
      <c r="G121" s="1">
        <v>816.76199999999994</v>
      </c>
      <c r="H121" s="1">
        <v>408.38099999999997</v>
      </c>
      <c r="I121" s="1">
        <v>2858.66</v>
      </c>
    </row>
    <row r="122" spans="1:9" x14ac:dyDescent="0.25">
      <c r="A122" s="1" t="s">
        <v>7</v>
      </c>
      <c r="B122" s="1">
        <v>2</v>
      </c>
      <c r="C122" s="1">
        <v>278.608</v>
      </c>
      <c r="D122" s="1">
        <v>557.22</v>
      </c>
      <c r="E122" s="7">
        <f t="shared" si="2"/>
        <v>150.2811552</v>
      </c>
      <c r="F122" s="7">
        <f t="shared" si="3"/>
        <v>406.93884480000003</v>
      </c>
      <c r="G122" s="1">
        <v>278.608</v>
      </c>
      <c r="H122" s="1">
        <v>139.304</v>
      </c>
      <c r="I122" s="1">
        <v>975.13</v>
      </c>
    </row>
    <row r="123" spans="1:9" x14ac:dyDescent="0.25">
      <c r="A123" s="1" t="s">
        <v>7</v>
      </c>
      <c r="B123" s="1">
        <v>2</v>
      </c>
      <c r="C123" s="1">
        <v>333.02600000000001</v>
      </c>
      <c r="D123" s="1">
        <v>666.05</v>
      </c>
      <c r="E123" s="7">
        <f t="shared" si="2"/>
        <v>179.63422439999999</v>
      </c>
      <c r="F123" s="7">
        <f t="shared" si="3"/>
        <v>486.41577559999996</v>
      </c>
      <c r="G123" s="1">
        <v>333.02600000000001</v>
      </c>
      <c r="H123" s="1">
        <v>166.51300000000001</v>
      </c>
      <c r="I123" s="1">
        <v>1165.5899999999999</v>
      </c>
    </row>
    <row r="124" spans="1:9" x14ac:dyDescent="0.25">
      <c r="A124" s="1" t="s">
        <v>7</v>
      </c>
      <c r="B124" s="1">
        <v>2</v>
      </c>
      <c r="C124" s="1">
        <v>753.21699999999998</v>
      </c>
      <c r="D124" s="1">
        <v>1506.43</v>
      </c>
      <c r="E124" s="7">
        <f t="shared" si="2"/>
        <v>406.28524979999997</v>
      </c>
      <c r="F124" s="7">
        <f t="shared" si="3"/>
        <v>1100.1447502000001</v>
      </c>
      <c r="G124" s="1">
        <v>753.21699999999998</v>
      </c>
      <c r="H124" s="1">
        <v>376.60899999999998</v>
      </c>
      <c r="I124" s="1">
        <v>2636.26</v>
      </c>
    </row>
    <row r="125" spans="1:9" x14ac:dyDescent="0.25">
      <c r="A125" s="1" t="s">
        <v>7</v>
      </c>
      <c r="B125" s="1">
        <v>3</v>
      </c>
      <c r="C125" s="1">
        <v>1392.355</v>
      </c>
      <c r="D125" s="1">
        <v>4177.07</v>
      </c>
      <c r="E125" s="7">
        <f t="shared" si="2"/>
        <v>751.03628700000002</v>
      </c>
      <c r="F125" s="7">
        <f t="shared" si="3"/>
        <v>3426.0337129999998</v>
      </c>
      <c r="G125" s="1">
        <v>2088.5329999999999</v>
      </c>
      <c r="H125" s="1">
        <v>1044.2660000000001</v>
      </c>
      <c r="I125" s="1">
        <v>7309.87</v>
      </c>
    </row>
    <row r="126" spans="1:9" x14ac:dyDescent="0.25">
      <c r="A126" s="1" t="s">
        <v>7</v>
      </c>
      <c r="B126" s="1">
        <v>2</v>
      </c>
      <c r="C126" s="1">
        <v>1338.2280000000001</v>
      </c>
      <c r="D126" s="1">
        <v>2676.46</v>
      </c>
      <c r="E126" s="7">
        <f t="shared" si="2"/>
        <v>721.84018320000007</v>
      </c>
      <c r="F126" s="7">
        <f t="shared" si="3"/>
        <v>1954.6198168000001</v>
      </c>
      <c r="G126" s="1">
        <v>1338.2280000000001</v>
      </c>
      <c r="H126" s="1">
        <v>669.11400000000003</v>
      </c>
      <c r="I126" s="1">
        <v>4683.8</v>
      </c>
    </row>
    <row r="127" spans="1:9" x14ac:dyDescent="0.25">
      <c r="A127" s="1" t="s">
        <v>7</v>
      </c>
      <c r="B127" s="1">
        <v>4</v>
      </c>
      <c r="C127" s="1">
        <v>2022.2629999999999</v>
      </c>
      <c r="D127" s="1">
        <v>8089.05</v>
      </c>
      <c r="E127" s="7">
        <f t="shared" si="2"/>
        <v>1090.8086621999998</v>
      </c>
      <c r="F127" s="7">
        <f t="shared" si="3"/>
        <v>6998.2413378000001</v>
      </c>
      <c r="G127" s="1">
        <v>4044.5259999999998</v>
      </c>
      <c r="H127" s="1">
        <v>2022.2629999999999</v>
      </c>
      <c r="I127" s="1">
        <v>14155.84</v>
      </c>
    </row>
    <row r="128" spans="1:9" x14ac:dyDescent="0.25">
      <c r="A128" s="1" t="s">
        <v>7</v>
      </c>
      <c r="B128" s="1">
        <v>3</v>
      </c>
      <c r="C128" s="1">
        <v>3198.252</v>
      </c>
      <c r="D128" s="1">
        <v>9594.76</v>
      </c>
      <c r="E128" s="7">
        <f t="shared" si="2"/>
        <v>1725.1371288</v>
      </c>
      <c r="F128" s="7">
        <f t="shared" si="3"/>
        <v>7869.6228712000002</v>
      </c>
      <c r="G128" s="1">
        <v>4797.3779999999997</v>
      </c>
      <c r="H128" s="1">
        <v>2398.6889999999999</v>
      </c>
      <c r="I128" s="1">
        <v>16790.830000000002</v>
      </c>
    </row>
    <row r="129" spans="1:9" x14ac:dyDescent="0.25">
      <c r="A129" s="1" t="s">
        <v>7</v>
      </c>
      <c r="B129" s="1">
        <v>3</v>
      </c>
      <c r="C129" s="1">
        <v>1508.4449999999999</v>
      </c>
      <c r="D129" s="1">
        <v>4525.34</v>
      </c>
      <c r="E129" s="7">
        <f t="shared" si="2"/>
        <v>813.65523299999995</v>
      </c>
      <c r="F129" s="7">
        <f t="shared" si="3"/>
        <v>3711.6847670000002</v>
      </c>
      <c r="G129" s="1">
        <v>2262.6680000000001</v>
      </c>
      <c r="H129" s="1">
        <v>1131.3340000000001</v>
      </c>
      <c r="I129" s="1">
        <v>7919.34</v>
      </c>
    </row>
    <row r="130" spans="1:9" x14ac:dyDescent="0.25">
      <c r="A130" s="1" t="s">
        <v>7</v>
      </c>
      <c r="B130" s="1">
        <v>2</v>
      </c>
      <c r="C130" s="1">
        <v>297.97300000000001</v>
      </c>
      <c r="D130" s="1">
        <v>595.95000000000005</v>
      </c>
      <c r="E130" s="7">
        <f t="shared" si="2"/>
        <v>160.7266362</v>
      </c>
      <c r="F130" s="7">
        <f t="shared" si="3"/>
        <v>435.22336380000002</v>
      </c>
      <c r="G130" s="1">
        <v>297.97300000000001</v>
      </c>
      <c r="H130" s="1">
        <v>148.98699999999999</v>
      </c>
      <c r="I130" s="1">
        <v>1042.9100000000001</v>
      </c>
    </row>
    <row r="131" spans="1:9" x14ac:dyDescent="0.25">
      <c r="A131" s="1" t="s">
        <v>7</v>
      </c>
      <c r="B131" s="1">
        <v>2</v>
      </c>
      <c r="C131" s="1">
        <v>278.24099999999999</v>
      </c>
      <c r="D131" s="1">
        <v>556.48</v>
      </c>
      <c r="E131" s="7">
        <f t="shared" ref="E131:E156" si="4">$J$2/1000*C131</f>
        <v>150.08319539999999</v>
      </c>
      <c r="F131" s="7">
        <f t="shared" ref="F131:F156" si="5">D131-E131</f>
        <v>406.3968046</v>
      </c>
      <c r="G131" s="1">
        <v>278.24099999999999</v>
      </c>
      <c r="H131" s="1">
        <v>139.12100000000001</v>
      </c>
      <c r="I131" s="1">
        <v>973.84</v>
      </c>
    </row>
    <row r="132" spans="1:9" x14ac:dyDescent="0.25">
      <c r="A132" s="1" t="s">
        <v>7</v>
      </c>
      <c r="B132" s="1">
        <v>3</v>
      </c>
      <c r="C132" s="1">
        <v>1289.8489999999999</v>
      </c>
      <c r="D132" s="1">
        <v>3869.55</v>
      </c>
      <c r="E132" s="7">
        <f t="shared" si="4"/>
        <v>695.74455059999991</v>
      </c>
      <c r="F132" s="7">
        <f t="shared" si="5"/>
        <v>3173.8054494000003</v>
      </c>
      <c r="G132" s="1">
        <v>1934.7729999999999</v>
      </c>
      <c r="H132" s="1">
        <v>967.38699999999994</v>
      </c>
      <c r="I132" s="1">
        <v>6771.71</v>
      </c>
    </row>
    <row r="133" spans="1:9" x14ac:dyDescent="0.25">
      <c r="A133" s="1" t="s">
        <v>7</v>
      </c>
      <c r="B133" s="1">
        <v>3</v>
      </c>
      <c r="C133" s="1">
        <v>1368.011</v>
      </c>
      <c r="D133" s="1">
        <v>4104.03</v>
      </c>
      <c r="E133" s="7">
        <f t="shared" si="4"/>
        <v>737.90513339999995</v>
      </c>
      <c r="F133" s="7">
        <f t="shared" si="5"/>
        <v>3366.1248665999997</v>
      </c>
      <c r="G133" s="1">
        <v>2052.0160000000001</v>
      </c>
      <c r="H133" s="1">
        <v>1026.008</v>
      </c>
      <c r="I133" s="1">
        <v>7182.05</v>
      </c>
    </row>
    <row r="134" spans="1:9" x14ac:dyDescent="0.25">
      <c r="A134" s="1" t="s">
        <v>7</v>
      </c>
      <c r="B134" s="1">
        <v>3</v>
      </c>
      <c r="C134" s="1">
        <v>1261.58</v>
      </c>
      <c r="D134" s="1">
        <v>3784.74</v>
      </c>
      <c r="E134" s="7">
        <f t="shared" si="4"/>
        <v>680.49625199999991</v>
      </c>
      <c r="F134" s="7">
        <f t="shared" si="5"/>
        <v>3104.2437479999999</v>
      </c>
      <c r="G134" s="1">
        <v>1892.37</v>
      </c>
      <c r="H134" s="1">
        <v>946.18499999999995</v>
      </c>
      <c r="I134" s="1">
        <v>6623.3</v>
      </c>
    </row>
    <row r="135" spans="1:9" x14ac:dyDescent="0.25">
      <c r="A135" s="1" t="s">
        <v>7</v>
      </c>
      <c r="B135" s="1">
        <v>2</v>
      </c>
      <c r="C135" s="1">
        <v>611.82799999999997</v>
      </c>
      <c r="D135" s="1">
        <v>1223.6600000000001</v>
      </c>
      <c r="E135" s="7">
        <f t="shared" si="4"/>
        <v>330.02002319999997</v>
      </c>
      <c r="F135" s="7">
        <f t="shared" si="5"/>
        <v>893.63997680000011</v>
      </c>
      <c r="G135" s="1">
        <v>611.82799999999997</v>
      </c>
      <c r="H135" s="1">
        <v>305.91399999999999</v>
      </c>
      <c r="I135" s="1">
        <v>2141.4</v>
      </c>
    </row>
    <row r="136" spans="1:9" x14ac:dyDescent="0.25">
      <c r="A136" s="1" t="s">
        <v>7</v>
      </c>
      <c r="B136" s="1">
        <v>2</v>
      </c>
      <c r="C136" s="1">
        <v>504.28699999999998</v>
      </c>
      <c r="D136" s="1">
        <v>1008.57</v>
      </c>
      <c r="E136" s="7">
        <f t="shared" si="4"/>
        <v>272.01240780000001</v>
      </c>
      <c r="F136" s="7">
        <f t="shared" si="5"/>
        <v>736.55759220000004</v>
      </c>
      <c r="G136" s="1">
        <v>504.28699999999998</v>
      </c>
      <c r="H136" s="1">
        <v>252.14400000000001</v>
      </c>
      <c r="I136" s="1">
        <v>1765</v>
      </c>
    </row>
    <row r="137" spans="1:9" x14ac:dyDescent="0.25">
      <c r="A137" s="1" t="s">
        <v>7</v>
      </c>
      <c r="B137" s="1">
        <v>3</v>
      </c>
      <c r="C137" s="1">
        <v>2662.1039999999998</v>
      </c>
      <c r="D137" s="1">
        <v>7986.31</v>
      </c>
      <c r="E137" s="7">
        <f t="shared" si="4"/>
        <v>1435.9388975999998</v>
      </c>
      <c r="F137" s="7">
        <f t="shared" si="5"/>
        <v>6550.3711024000004</v>
      </c>
      <c r="G137" s="1">
        <v>3993.1559999999999</v>
      </c>
      <c r="H137" s="1">
        <v>1996.578</v>
      </c>
      <c r="I137" s="1">
        <v>13976.04</v>
      </c>
    </row>
    <row r="138" spans="1:9" x14ac:dyDescent="0.25">
      <c r="A138" s="1" t="s">
        <v>7</v>
      </c>
      <c r="B138" s="1">
        <v>2</v>
      </c>
      <c r="C138" s="1">
        <v>939.43899999999996</v>
      </c>
      <c r="D138" s="1">
        <v>1878.88</v>
      </c>
      <c r="E138" s="7">
        <f t="shared" si="4"/>
        <v>506.73339659999999</v>
      </c>
      <c r="F138" s="7">
        <f t="shared" si="5"/>
        <v>1372.1466034</v>
      </c>
      <c r="G138" s="1">
        <v>939.43899999999996</v>
      </c>
      <c r="H138" s="1">
        <v>469.72</v>
      </c>
      <c r="I138" s="1">
        <v>3288.04</v>
      </c>
    </row>
    <row r="139" spans="1:9" x14ac:dyDescent="0.25">
      <c r="A139" s="1" t="s">
        <v>7</v>
      </c>
      <c r="B139" s="1">
        <v>3</v>
      </c>
      <c r="C139" s="1">
        <v>2240.9029999999998</v>
      </c>
      <c r="D139" s="1">
        <v>6722.71</v>
      </c>
      <c r="E139" s="7">
        <f t="shared" si="4"/>
        <v>1208.7430781999999</v>
      </c>
      <c r="F139" s="7">
        <f t="shared" si="5"/>
        <v>5513.9669217999999</v>
      </c>
      <c r="G139" s="1">
        <v>3361.3539999999998</v>
      </c>
      <c r="H139" s="1">
        <v>1680.6769999999999</v>
      </c>
      <c r="I139" s="1">
        <v>11764.74</v>
      </c>
    </row>
    <row r="140" spans="1:9" x14ac:dyDescent="0.25">
      <c r="A140" s="1" t="s">
        <v>7</v>
      </c>
      <c r="B140" s="1">
        <v>4</v>
      </c>
      <c r="C140" s="1">
        <v>1422.0429999999999</v>
      </c>
      <c r="D140" s="1">
        <v>5688.17</v>
      </c>
      <c r="E140" s="7">
        <f t="shared" si="4"/>
        <v>767.0499941999999</v>
      </c>
      <c r="F140" s="7">
        <f t="shared" si="5"/>
        <v>4921.1200058000004</v>
      </c>
      <c r="G140" s="1">
        <v>2844.0859999999998</v>
      </c>
      <c r="H140" s="1">
        <v>1422.0429999999999</v>
      </c>
      <c r="I140" s="1">
        <v>9954.2999999999993</v>
      </c>
    </row>
    <row r="141" spans="1:9" x14ac:dyDescent="0.25">
      <c r="A141" s="1" t="s">
        <v>7</v>
      </c>
      <c r="B141" s="1">
        <v>3</v>
      </c>
      <c r="C141" s="1">
        <v>509.06799999999998</v>
      </c>
      <c r="D141" s="1">
        <v>1527.2</v>
      </c>
      <c r="E141" s="7">
        <f t="shared" si="4"/>
        <v>274.59127919999997</v>
      </c>
      <c r="F141" s="7">
        <f t="shared" si="5"/>
        <v>1252.6087208000001</v>
      </c>
      <c r="G141" s="1">
        <v>763.60199999999998</v>
      </c>
      <c r="H141" s="1">
        <v>381.80099999999999</v>
      </c>
      <c r="I141" s="1">
        <v>2672.6</v>
      </c>
    </row>
    <row r="142" spans="1:9" x14ac:dyDescent="0.25">
      <c r="A142" s="1" t="s">
        <v>7</v>
      </c>
      <c r="B142" s="1">
        <v>3</v>
      </c>
      <c r="C142" s="1">
        <v>2118.75</v>
      </c>
      <c r="D142" s="1">
        <v>6356.25</v>
      </c>
      <c r="E142" s="7">
        <f t="shared" si="4"/>
        <v>1142.85375</v>
      </c>
      <c r="F142" s="7">
        <f t="shared" si="5"/>
        <v>5213.3962499999998</v>
      </c>
      <c r="G142" s="1">
        <v>3178.125</v>
      </c>
      <c r="H142" s="1">
        <v>1589.0630000000001</v>
      </c>
      <c r="I142" s="1">
        <v>11123.44</v>
      </c>
    </row>
    <row r="143" spans="1:9" x14ac:dyDescent="0.25">
      <c r="A143" s="1" t="s">
        <v>7</v>
      </c>
      <c r="B143" s="1">
        <v>2</v>
      </c>
      <c r="C143" s="1">
        <v>455.42200000000003</v>
      </c>
      <c r="D143" s="1">
        <v>910.84</v>
      </c>
      <c r="E143" s="7">
        <f t="shared" si="4"/>
        <v>245.65462680000002</v>
      </c>
      <c r="F143" s="7">
        <f t="shared" si="5"/>
        <v>665.18537319999996</v>
      </c>
      <c r="G143" s="1">
        <v>455.42200000000003</v>
      </c>
      <c r="H143" s="1">
        <v>227.71100000000001</v>
      </c>
      <c r="I143" s="1">
        <v>1593.97</v>
      </c>
    </row>
    <row r="144" spans="1:9" x14ac:dyDescent="0.25">
      <c r="A144" s="1" t="s">
        <v>7</v>
      </c>
      <c r="B144" s="1">
        <v>2</v>
      </c>
      <c r="C144" s="1">
        <v>760.12</v>
      </c>
      <c r="D144" s="1">
        <v>1520.24</v>
      </c>
      <c r="E144" s="7">
        <f t="shared" si="4"/>
        <v>410.00872800000002</v>
      </c>
      <c r="F144" s="7">
        <f t="shared" si="5"/>
        <v>1110.231272</v>
      </c>
      <c r="G144" s="1">
        <v>760.12</v>
      </c>
      <c r="H144" s="1">
        <v>380.06</v>
      </c>
      <c r="I144" s="1">
        <v>2660.42</v>
      </c>
    </row>
    <row r="145" spans="1:9" x14ac:dyDescent="0.25">
      <c r="A145" s="1" t="s">
        <v>7</v>
      </c>
      <c r="B145" s="1">
        <v>3</v>
      </c>
      <c r="C145" s="1">
        <v>891.40899999999999</v>
      </c>
      <c r="D145" s="1">
        <v>2674.23</v>
      </c>
      <c r="E145" s="7">
        <f t="shared" si="4"/>
        <v>480.82601460000001</v>
      </c>
      <c r="F145" s="7">
        <f t="shared" si="5"/>
        <v>2193.4039854000002</v>
      </c>
      <c r="G145" s="1">
        <v>1337.114</v>
      </c>
      <c r="H145" s="1">
        <v>668.55700000000002</v>
      </c>
      <c r="I145" s="1">
        <v>4679.8999999999996</v>
      </c>
    </row>
    <row r="146" spans="1:9" x14ac:dyDescent="0.25">
      <c r="A146" s="1" t="s">
        <v>7</v>
      </c>
      <c r="B146" s="1">
        <v>2</v>
      </c>
      <c r="C146" s="1">
        <v>511.39600000000002</v>
      </c>
      <c r="D146" s="1">
        <v>1022.79</v>
      </c>
      <c r="E146" s="7">
        <f t="shared" si="4"/>
        <v>275.84700240000001</v>
      </c>
      <c r="F146" s="7">
        <f t="shared" si="5"/>
        <v>746.9429975999999</v>
      </c>
      <c r="G146" s="1">
        <v>511.39600000000002</v>
      </c>
      <c r="H146" s="1">
        <v>255.69800000000001</v>
      </c>
      <c r="I146" s="1">
        <v>1789.88</v>
      </c>
    </row>
    <row r="147" spans="1:9" x14ac:dyDescent="0.25">
      <c r="A147" s="1" t="s">
        <v>7</v>
      </c>
      <c r="B147" s="1">
        <v>2</v>
      </c>
      <c r="C147" s="1">
        <v>317.54199999999997</v>
      </c>
      <c r="D147" s="1">
        <v>635.08000000000004</v>
      </c>
      <c r="E147" s="7">
        <f t="shared" si="4"/>
        <v>171.28215479999997</v>
      </c>
      <c r="F147" s="7">
        <f t="shared" si="5"/>
        <v>463.7978452000001</v>
      </c>
      <c r="G147" s="1">
        <v>317.54199999999997</v>
      </c>
      <c r="H147" s="1">
        <v>158.77099999999999</v>
      </c>
      <c r="I147" s="1">
        <v>1111.3900000000001</v>
      </c>
    </row>
    <row r="148" spans="1:9" x14ac:dyDescent="0.25">
      <c r="A148" s="1" t="s">
        <v>7</v>
      </c>
      <c r="B148" s="1">
        <v>2</v>
      </c>
      <c r="C148" s="1">
        <v>412.05200000000002</v>
      </c>
      <c r="D148" s="1">
        <v>824.1</v>
      </c>
      <c r="E148" s="7">
        <f t="shared" si="4"/>
        <v>222.26084880000002</v>
      </c>
      <c r="F148" s="7">
        <f t="shared" si="5"/>
        <v>601.83915120000006</v>
      </c>
      <c r="G148" s="1">
        <v>412.05200000000002</v>
      </c>
      <c r="H148" s="1">
        <v>206.02600000000001</v>
      </c>
      <c r="I148" s="1">
        <v>1442.18</v>
      </c>
    </row>
    <row r="149" spans="1:9" x14ac:dyDescent="0.25">
      <c r="A149" s="1" t="s">
        <v>7</v>
      </c>
      <c r="B149" s="1">
        <v>2</v>
      </c>
      <c r="C149" s="1">
        <v>415.37799999999999</v>
      </c>
      <c r="D149" s="1">
        <v>830.76</v>
      </c>
      <c r="E149" s="7">
        <f t="shared" si="4"/>
        <v>224.05489319999998</v>
      </c>
      <c r="F149" s="7">
        <f t="shared" si="5"/>
        <v>606.70510680000007</v>
      </c>
      <c r="G149" s="1">
        <v>415.37799999999999</v>
      </c>
      <c r="H149" s="1">
        <v>207.68899999999999</v>
      </c>
      <c r="I149" s="1">
        <v>1453.83</v>
      </c>
    </row>
    <row r="150" spans="1:9" x14ac:dyDescent="0.25">
      <c r="A150" s="1" t="s">
        <v>7</v>
      </c>
      <c r="B150" s="1">
        <v>2</v>
      </c>
      <c r="C150" s="1">
        <v>595.21400000000006</v>
      </c>
      <c r="D150" s="1">
        <v>1190.43</v>
      </c>
      <c r="E150" s="7">
        <f t="shared" si="4"/>
        <v>321.05843160000001</v>
      </c>
      <c r="F150" s="7">
        <f t="shared" si="5"/>
        <v>869.37156840000011</v>
      </c>
      <c r="G150" s="1">
        <v>595.21400000000006</v>
      </c>
      <c r="H150" s="1">
        <v>297.60700000000003</v>
      </c>
      <c r="I150" s="1">
        <v>2083.25</v>
      </c>
    </row>
    <row r="151" spans="1:9" x14ac:dyDescent="0.25">
      <c r="A151" s="1" t="s">
        <v>7</v>
      </c>
      <c r="B151" s="1">
        <v>3</v>
      </c>
      <c r="C151" s="1">
        <v>410.12400000000002</v>
      </c>
      <c r="D151" s="1">
        <v>1230.3699999999999</v>
      </c>
      <c r="E151" s="7">
        <f t="shared" si="4"/>
        <v>221.2208856</v>
      </c>
      <c r="F151" s="7">
        <f t="shared" si="5"/>
        <v>1009.1491143999999</v>
      </c>
      <c r="G151" s="1">
        <v>615.18600000000004</v>
      </c>
      <c r="H151" s="1">
        <v>307.59300000000002</v>
      </c>
      <c r="I151" s="1">
        <v>2153.15</v>
      </c>
    </row>
    <row r="152" spans="1:9" x14ac:dyDescent="0.25">
      <c r="A152" s="1" t="s">
        <v>7</v>
      </c>
      <c r="B152" s="1">
        <v>2</v>
      </c>
      <c r="C152" s="1">
        <v>357.75599999999997</v>
      </c>
      <c r="D152" s="1">
        <v>715.51</v>
      </c>
      <c r="E152" s="7">
        <f t="shared" si="4"/>
        <v>192.97358639999999</v>
      </c>
      <c r="F152" s="7">
        <f t="shared" si="5"/>
        <v>522.53641360000006</v>
      </c>
      <c r="G152" s="1">
        <v>357.75599999999997</v>
      </c>
      <c r="H152" s="1">
        <v>178.87799999999999</v>
      </c>
      <c r="I152" s="1">
        <v>1252.1400000000001</v>
      </c>
    </row>
    <row r="153" spans="1:9" x14ac:dyDescent="0.25">
      <c r="A153" s="1" t="s">
        <v>7</v>
      </c>
      <c r="B153" s="1">
        <v>2</v>
      </c>
      <c r="C153" s="1">
        <v>403.05700000000002</v>
      </c>
      <c r="D153" s="1">
        <v>806.11</v>
      </c>
      <c r="E153" s="7">
        <f t="shared" si="4"/>
        <v>217.4089458</v>
      </c>
      <c r="F153" s="7">
        <f t="shared" si="5"/>
        <v>588.70105420000004</v>
      </c>
      <c r="G153" s="1">
        <v>403.05700000000002</v>
      </c>
      <c r="H153" s="1">
        <v>201.529</v>
      </c>
      <c r="I153" s="1">
        <v>1410.7</v>
      </c>
    </row>
    <row r="154" spans="1:9" x14ac:dyDescent="0.25">
      <c r="A154" s="1" t="s">
        <v>7</v>
      </c>
      <c r="B154" s="1">
        <v>3</v>
      </c>
      <c r="C154" s="1">
        <v>573.87800000000004</v>
      </c>
      <c r="D154" s="1">
        <v>1721.63</v>
      </c>
      <c r="E154" s="7">
        <f t="shared" si="4"/>
        <v>309.54979320000001</v>
      </c>
      <c r="F154" s="7">
        <f t="shared" si="5"/>
        <v>1412.0802068</v>
      </c>
      <c r="G154" s="1">
        <v>860.81700000000001</v>
      </c>
      <c r="H154" s="1">
        <v>430.40899999999999</v>
      </c>
      <c r="I154" s="1">
        <v>3012.86</v>
      </c>
    </row>
    <row r="155" spans="1:9" x14ac:dyDescent="0.25">
      <c r="A155" s="4" t="s">
        <v>7</v>
      </c>
      <c r="B155" s="4">
        <v>3</v>
      </c>
      <c r="C155" s="4">
        <v>1318.6079999999999</v>
      </c>
      <c r="D155" s="4">
        <v>3955.82</v>
      </c>
      <c r="E155" s="7">
        <f t="shared" si="4"/>
        <v>711.25715519999994</v>
      </c>
      <c r="F155" s="7">
        <f t="shared" si="5"/>
        <v>3244.5628448000002</v>
      </c>
      <c r="G155" s="4">
        <v>1977.912</v>
      </c>
      <c r="H155" s="4">
        <v>988.95600000000002</v>
      </c>
      <c r="I155" s="4">
        <v>6922.69</v>
      </c>
    </row>
    <row r="156" spans="1:9" x14ac:dyDescent="0.25">
      <c r="A156" s="3" t="s">
        <v>7</v>
      </c>
      <c r="B156" s="3">
        <v>4</v>
      </c>
      <c r="C156" s="3">
        <v>3704.7020000000002</v>
      </c>
      <c r="D156" s="3">
        <v>14818.81</v>
      </c>
      <c r="E156" s="7">
        <f t="shared" si="4"/>
        <v>1998.3162588</v>
      </c>
      <c r="F156" s="7">
        <f t="shared" si="5"/>
        <v>12820.4937412</v>
      </c>
      <c r="G156" s="3">
        <v>7409.4040000000005</v>
      </c>
      <c r="H156" s="3">
        <v>3704.7020000000002</v>
      </c>
      <c r="I156" s="3">
        <v>25932.92</v>
      </c>
    </row>
    <row r="157" spans="1:9" x14ac:dyDescent="0.25">
      <c r="A157" s="5" t="s">
        <v>8</v>
      </c>
      <c r="B157" s="6">
        <f>AVERAGE(B2:B156)</f>
        <v>2.6483870967741936</v>
      </c>
      <c r="C157" s="6">
        <f>SUM(C2:C156)</f>
        <v>297838.91100000008</v>
      </c>
      <c r="D157" s="6">
        <f t="shared" ref="D157:I157" si="6">SUM(D2:D156)</f>
        <v>904692.12999999966</v>
      </c>
      <c r="E157" s="6"/>
      <c r="F157" s="6"/>
      <c r="G157" s="6">
        <f t="shared" si="6"/>
        <v>452346.12099999998</v>
      </c>
      <c r="H157" s="6">
        <f t="shared" si="6"/>
        <v>226173.07500000007</v>
      </c>
      <c r="I157" s="6">
        <f t="shared" si="6"/>
        <v>1583211.3399999999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329A-06B9-46C0-8522-2B589031E6F5}">
  <dimension ref="A1:AC173"/>
  <sheetViews>
    <sheetView workbookViewId="0">
      <selection activeCell="U2" sqref="U2"/>
    </sheetView>
  </sheetViews>
  <sheetFormatPr defaultRowHeight="15" x14ac:dyDescent="0.25"/>
  <cols>
    <col min="1" max="1" width="4" bestFit="1" customWidth="1"/>
    <col min="3" max="3" width="9.85546875" bestFit="1" customWidth="1"/>
    <col min="4" max="4" width="24.85546875" bestFit="1" customWidth="1"/>
    <col min="6" max="6" width="35.140625" bestFit="1" customWidth="1"/>
    <col min="7" max="7" width="8.85546875" bestFit="1" customWidth="1"/>
    <col min="8" max="8" width="4.5703125" bestFit="1" customWidth="1"/>
    <col min="9" max="19" width="5.5703125" bestFit="1" customWidth="1"/>
    <col min="20" max="20" width="13.28515625" bestFit="1" customWidth="1"/>
    <col min="21" max="21" width="13.28515625" customWidth="1"/>
    <col min="22" max="22" width="8.140625" bestFit="1" customWidth="1"/>
    <col min="23" max="23" width="20.5703125" bestFit="1" customWidth="1"/>
    <col min="24" max="24" width="25.140625" bestFit="1" customWidth="1"/>
    <col min="25" max="26" width="16.7109375" customWidth="1"/>
    <col min="27" max="27" width="21" bestFit="1" customWidth="1"/>
  </cols>
  <sheetData>
    <row r="1" spans="1:29" x14ac:dyDescent="0.25">
      <c r="A1" s="42" t="s">
        <v>49</v>
      </c>
      <c r="B1" s="42" t="s">
        <v>51</v>
      </c>
      <c r="C1" s="42" t="s">
        <v>50</v>
      </c>
      <c r="D1" s="42" t="s">
        <v>0</v>
      </c>
      <c r="E1" s="42" t="s">
        <v>9</v>
      </c>
      <c r="F1" s="42" t="s">
        <v>40</v>
      </c>
      <c r="G1" s="42" t="s">
        <v>4</v>
      </c>
      <c r="H1" s="46" t="s">
        <v>35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2" t="s">
        <v>80</v>
      </c>
      <c r="U1" s="26"/>
    </row>
    <row r="2" spans="1:29" ht="15.75" x14ac:dyDescent="0.25">
      <c r="A2" s="42"/>
      <c r="B2" s="42"/>
      <c r="C2" s="42"/>
      <c r="D2" s="42"/>
      <c r="E2" s="42"/>
      <c r="F2" s="42"/>
      <c r="G2" s="42"/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42"/>
      <c r="U2" s="26"/>
      <c r="W2" s="9" t="s">
        <v>26</v>
      </c>
      <c r="X2" s="9" t="s">
        <v>27</v>
      </c>
      <c r="Y2" s="9" t="s">
        <v>28</v>
      </c>
      <c r="Z2" s="9" t="s">
        <v>29</v>
      </c>
      <c r="AA2" s="9" t="s">
        <v>30</v>
      </c>
      <c r="AB2" s="9" t="s">
        <v>31</v>
      </c>
      <c r="AC2" s="12" t="s">
        <v>39</v>
      </c>
    </row>
    <row r="3" spans="1:29" ht="15.75" x14ac:dyDescent="0.25">
      <c r="A3" s="8">
        <v>0</v>
      </c>
      <c r="B3" s="8">
        <v>20.3248</v>
      </c>
      <c r="C3" s="8">
        <v>84.477999999999994</v>
      </c>
      <c r="D3" s="3" t="s">
        <v>7</v>
      </c>
      <c r="E3" s="3">
        <v>2</v>
      </c>
      <c r="F3" s="8">
        <f t="shared" ref="F3:F34" si="0">E3-$Z$21</f>
        <v>1.75</v>
      </c>
      <c r="G3" s="3">
        <v>317.35399999999998</v>
      </c>
      <c r="H3" s="11">
        <f t="shared" ref="H3:H34" si="1">IF(S3-$AC$3&lt;0, 0, S3-$AC$3)</f>
        <v>1.3810000000000002</v>
      </c>
      <c r="I3" s="11">
        <f t="shared" ref="I3:I34" si="2">IF(H3-$AC$4&lt;0, 0, H3-$AC$4)</f>
        <v>1.2106000000000003</v>
      </c>
      <c r="J3" s="11">
        <f t="shared" ref="J3:J34" si="3">IF(I3-$AC$5&lt;0, 0, I3-$AC$5)</f>
        <v>1.0126000000000004</v>
      </c>
      <c r="K3" s="11">
        <f t="shared" ref="K3:K34" si="4">IF(J3-$AC$6&lt;0, 0, J3-$AC$6)</f>
        <v>0.80770000000000042</v>
      </c>
      <c r="L3" s="11">
        <f t="shared" ref="L3:L34" si="5">IF(K3-$AC$7&lt;0, 0, K3-$AC$7)</f>
        <v>0.56830000000000047</v>
      </c>
      <c r="M3" s="11">
        <f>F3</f>
        <v>1.75</v>
      </c>
      <c r="N3" s="11">
        <f>F3</f>
        <v>1.75</v>
      </c>
      <c r="O3" s="11">
        <f>F3</f>
        <v>1.75</v>
      </c>
      <c r="P3" s="11">
        <f>F3</f>
        <v>1.75</v>
      </c>
      <c r="Q3" s="11">
        <f>F3</f>
        <v>1.75</v>
      </c>
      <c r="R3" s="11">
        <f t="shared" ref="R3:R34" si="6">IF(Q3-$AC$13&lt;0, 0, Q3-$AC$13)</f>
        <v>1.6219000000000001</v>
      </c>
      <c r="S3" s="11">
        <f t="shared" ref="S3:S34" si="7">IF(R3-$AC$14&lt;0, 0, R3-$AC$14)</f>
        <v>1.5082000000000002</v>
      </c>
      <c r="T3" s="8" t="s">
        <v>78</v>
      </c>
      <c r="U3" s="27"/>
      <c r="W3" s="9" t="s">
        <v>14</v>
      </c>
      <c r="X3" s="9" t="s">
        <v>32</v>
      </c>
      <c r="Y3" s="9">
        <v>2.2400000000000002</v>
      </c>
      <c r="Z3" s="9">
        <v>2</v>
      </c>
      <c r="AA3" s="9">
        <f>Y3+Z3</f>
        <v>4.24</v>
      </c>
      <c r="AB3" s="9">
        <f>AA3*30</f>
        <v>127.2</v>
      </c>
      <c r="AC3" s="11">
        <f>AB3/1000</f>
        <v>0.12720000000000001</v>
      </c>
    </row>
    <row r="4" spans="1:29" ht="15.75" x14ac:dyDescent="0.25">
      <c r="A4" s="8">
        <v>1</v>
      </c>
      <c r="B4" s="8">
        <v>20.329699999999999</v>
      </c>
      <c r="C4" s="8">
        <v>84.485699999999994</v>
      </c>
      <c r="D4" s="3" t="s">
        <v>7</v>
      </c>
      <c r="E4" s="3">
        <v>2</v>
      </c>
      <c r="F4" s="8">
        <f t="shared" si="0"/>
        <v>1.75</v>
      </c>
      <c r="G4" s="3">
        <v>340.00200000000001</v>
      </c>
      <c r="H4" s="11">
        <f t="shared" si="1"/>
        <v>1.3810000000000002</v>
      </c>
      <c r="I4" s="11">
        <f t="shared" si="2"/>
        <v>1.2106000000000003</v>
      </c>
      <c r="J4" s="11">
        <f t="shared" si="3"/>
        <v>1.0126000000000004</v>
      </c>
      <c r="K4" s="11">
        <f t="shared" si="4"/>
        <v>0.80770000000000042</v>
      </c>
      <c r="L4" s="11">
        <f t="shared" si="5"/>
        <v>0.56830000000000047</v>
      </c>
      <c r="M4" s="11">
        <f t="shared" ref="M4:M67" si="8">F4</f>
        <v>1.75</v>
      </c>
      <c r="N4" s="11">
        <f t="shared" ref="N4:N67" si="9">F4</f>
        <v>1.75</v>
      </c>
      <c r="O4" s="11">
        <f t="shared" ref="O4:O67" si="10">F4</f>
        <v>1.75</v>
      </c>
      <c r="P4" s="11">
        <f t="shared" ref="P4:P67" si="11">F4</f>
        <v>1.75</v>
      </c>
      <c r="Q4" s="11">
        <f t="shared" ref="Q4:Q67" si="12">F4</f>
        <v>1.75</v>
      </c>
      <c r="R4" s="11">
        <f t="shared" si="6"/>
        <v>1.6219000000000001</v>
      </c>
      <c r="S4" s="11">
        <f t="shared" si="7"/>
        <v>1.5082000000000002</v>
      </c>
      <c r="T4" s="8" t="s">
        <v>78</v>
      </c>
      <c r="U4" s="27"/>
      <c r="W4" s="9" t="s">
        <v>15</v>
      </c>
      <c r="X4" s="9" t="s">
        <v>32</v>
      </c>
      <c r="Y4" s="9">
        <v>3.68</v>
      </c>
      <c r="Z4" s="9">
        <v>2</v>
      </c>
      <c r="AA4" s="9">
        <f t="shared" ref="AA4:AA14" si="13">Y4+Z4</f>
        <v>5.68</v>
      </c>
      <c r="AB4" s="9">
        <f t="shared" ref="AB4:AB7" si="14">AA4*30</f>
        <v>170.39999999999998</v>
      </c>
      <c r="AC4" s="11">
        <f t="shared" ref="AC4:AC14" si="15">AB4/1000</f>
        <v>0.17039999999999997</v>
      </c>
    </row>
    <row r="5" spans="1:29" ht="15.75" x14ac:dyDescent="0.25">
      <c r="A5" s="8">
        <v>2</v>
      </c>
      <c r="B5" s="8">
        <v>20.329599999999999</v>
      </c>
      <c r="C5" s="8">
        <v>84.484099999999998</v>
      </c>
      <c r="D5" s="3" t="s">
        <v>7</v>
      </c>
      <c r="E5" s="3">
        <v>2</v>
      </c>
      <c r="F5" s="8">
        <f t="shared" si="0"/>
        <v>1.75</v>
      </c>
      <c r="G5" s="3">
        <v>330.18099999999998</v>
      </c>
      <c r="H5" s="11">
        <f t="shared" si="1"/>
        <v>1.3810000000000002</v>
      </c>
      <c r="I5" s="11">
        <f t="shared" si="2"/>
        <v>1.2106000000000003</v>
      </c>
      <c r="J5" s="11">
        <f t="shared" si="3"/>
        <v>1.0126000000000004</v>
      </c>
      <c r="K5" s="11">
        <f t="shared" si="4"/>
        <v>0.80770000000000042</v>
      </c>
      <c r="L5" s="11">
        <f t="shared" si="5"/>
        <v>0.56830000000000047</v>
      </c>
      <c r="M5" s="11">
        <f t="shared" si="8"/>
        <v>1.75</v>
      </c>
      <c r="N5" s="11">
        <f t="shared" si="9"/>
        <v>1.75</v>
      </c>
      <c r="O5" s="11">
        <f t="shared" si="10"/>
        <v>1.75</v>
      </c>
      <c r="P5" s="11">
        <f t="shared" si="11"/>
        <v>1.75</v>
      </c>
      <c r="Q5" s="11">
        <f t="shared" si="12"/>
        <v>1.75</v>
      </c>
      <c r="R5" s="11">
        <f t="shared" si="6"/>
        <v>1.6219000000000001</v>
      </c>
      <c r="S5" s="11">
        <f t="shared" si="7"/>
        <v>1.5082000000000002</v>
      </c>
      <c r="T5" s="8" t="s">
        <v>78</v>
      </c>
      <c r="U5" s="27"/>
      <c r="W5" s="9" t="s">
        <v>16</v>
      </c>
      <c r="X5" s="9" t="s">
        <v>33</v>
      </c>
      <c r="Y5" s="9">
        <v>4.5999999999999996</v>
      </c>
      <c r="Z5" s="9">
        <v>2</v>
      </c>
      <c r="AA5" s="9">
        <f t="shared" si="13"/>
        <v>6.6</v>
      </c>
      <c r="AB5" s="9">
        <f t="shared" si="14"/>
        <v>198</v>
      </c>
      <c r="AC5" s="11">
        <f t="shared" si="15"/>
        <v>0.19800000000000001</v>
      </c>
    </row>
    <row r="6" spans="1:29" ht="15.75" x14ac:dyDescent="0.25">
      <c r="A6" s="8">
        <v>3</v>
      </c>
      <c r="B6" s="8">
        <v>20.329699999999999</v>
      </c>
      <c r="C6" s="8">
        <v>84.4833</v>
      </c>
      <c r="D6" s="3" t="s">
        <v>7</v>
      </c>
      <c r="E6" s="3">
        <v>2</v>
      </c>
      <c r="F6" s="8">
        <f t="shared" si="0"/>
        <v>1.75</v>
      </c>
      <c r="G6" s="3">
        <v>406.12200000000001</v>
      </c>
      <c r="H6" s="11">
        <f t="shared" si="1"/>
        <v>1.3810000000000002</v>
      </c>
      <c r="I6" s="11">
        <f t="shared" si="2"/>
        <v>1.2106000000000003</v>
      </c>
      <c r="J6" s="11">
        <f t="shared" si="3"/>
        <v>1.0126000000000004</v>
      </c>
      <c r="K6" s="11">
        <f t="shared" si="4"/>
        <v>0.80770000000000042</v>
      </c>
      <c r="L6" s="11">
        <f t="shared" si="5"/>
        <v>0.56830000000000047</v>
      </c>
      <c r="M6" s="11">
        <f t="shared" si="8"/>
        <v>1.75</v>
      </c>
      <c r="N6" s="11">
        <f t="shared" si="9"/>
        <v>1.75</v>
      </c>
      <c r="O6" s="11">
        <f t="shared" si="10"/>
        <v>1.75</v>
      </c>
      <c r="P6" s="11">
        <f t="shared" si="11"/>
        <v>1.75</v>
      </c>
      <c r="Q6" s="11">
        <f t="shared" si="12"/>
        <v>1.75</v>
      </c>
      <c r="R6" s="11">
        <f t="shared" si="6"/>
        <v>1.6219000000000001</v>
      </c>
      <c r="S6" s="11">
        <f t="shared" si="7"/>
        <v>1.5082000000000002</v>
      </c>
      <c r="T6" s="8" t="s">
        <v>78</v>
      </c>
      <c r="U6" s="27"/>
      <c r="W6" s="9" t="s">
        <v>17</v>
      </c>
      <c r="X6" s="9" t="s">
        <v>33</v>
      </c>
      <c r="Y6" s="9">
        <v>4.83</v>
      </c>
      <c r="Z6" s="9">
        <v>2</v>
      </c>
      <c r="AA6" s="9">
        <f t="shared" si="13"/>
        <v>6.83</v>
      </c>
      <c r="AB6" s="9">
        <f t="shared" si="14"/>
        <v>204.9</v>
      </c>
      <c r="AC6" s="11">
        <f t="shared" si="15"/>
        <v>0.2049</v>
      </c>
    </row>
    <row r="7" spans="1:29" ht="15.75" x14ac:dyDescent="0.25">
      <c r="A7" s="8">
        <v>4</v>
      </c>
      <c r="B7" s="8">
        <v>20.333100000000002</v>
      </c>
      <c r="C7" s="8">
        <v>84.488699999999994</v>
      </c>
      <c r="D7" s="3" t="s">
        <v>7</v>
      </c>
      <c r="E7" s="3">
        <v>3</v>
      </c>
      <c r="F7" s="8">
        <f t="shared" si="0"/>
        <v>2.75</v>
      </c>
      <c r="G7" s="3">
        <v>3052.328</v>
      </c>
      <c r="H7" s="11">
        <f t="shared" si="1"/>
        <v>2.3809999999999998</v>
      </c>
      <c r="I7" s="11">
        <f t="shared" si="2"/>
        <v>2.2105999999999999</v>
      </c>
      <c r="J7" s="11">
        <f t="shared" si="3"/>
        <v>2.0125999999999999</v>
      </c>
      <c r="K7" s="11">
        <f t="shared" si="4"/>
        <v>1.8076999999999999</v>
      </c>
      <c r="L7" s="11">
        <f t="shared" si="5"/>
        <v>1.5682999999999998</v>
      </c>
      <c r="M7" s="11">
        <f t="shared" si="8"/>
        <v>2.75</v>
      </c>
      <c r="N7" s="11">
        <f t="shared" si="9"/>
        <v>2.75</v>
      </c>
      <c r="O7" s="11">
        <f t="shared" si="10"/>
        <v>2.75</v>
      </c>
      <c r="P7" s="11">
        <f t="shared" si="11"/>
        <v>2.75</v>
      </c>
      <c r="Q7" s="11">
        <f t="shared" si="12"/>
        <v>2.75</v>
      </c>
      <c r="R7" s="11">
        <f t="shared" si="6"/>
        <v>2.6219000000000001</v>
      </c>
      <c r="S7" s="11">
        <f t="shared" si="7"/>
        <v>2.5082</v>
      </c>
      <c r="T7" s="8" t="s">
        <v>78</v>
      </c>
      <c r="U7" s="27"/>
      <c r="W7" s="9" t="s">
        <v>18</v>
      </c>
      <c r="X7" s="9" t="s">
        <v>33</v>
      </c>
      <c r="Y7" s="9">
        <v>5.98</v>
      </c>
      <c r="Z7" s="9">
        <v>2</v>
      </c>
      <c r="AA7" s="9">
        <f t="shared" si="13"/>
        <v>7.98</v>
      </c>
      <c r="AB7" s="9">
        <f t="shared" si="14"/>
        <v>239.4</v>
      </c>
      <c r="AC7" s="11">
        <f t="shared" si="15"/>
        <v>0.2394</v>
      </c>
    </row>
    <row r="8" spans="1:29" ht="15.75" x14ac:dyDescent="0.25">
      <c r="A8" s="8">
        <v>5</v>
      </c>
      <c r="B8" s="8">
        <v>20.332799999999999</v>
      </c>
      <c r="C8" s="8">
        <v>84.4876</v>
      </c>
      <c r="D8" s="3" t="s">
        <v>7</v>
      </c>
      <c r="E8" s="3">
        <v>3</v>
      </c>
      <c r="F8" s="8">
        <f t="shared" si="0"/>
        <v>2.75</v>
      </c>
      <c r="G8" s="3">
        <v>2333.8240000000001</v>
      </c>
      <c r="H8" s="11">
        <f t="shared" si="1"/>
        <v>2.3809999999999998</v>
      </c>
      <c r="I8" s="11">
        <f t="shared" si="2"/>
        <v>2.2105999999999999</v>
      </c>
      <c r="J8" s="11">
        <f t="shared" si="3"/>
        <v>2.0125999999999999</v>
      </c>
      <c r="K8" s="11">
        <f t="shared" si="4"/>
        <v>1.8076999999999999</v>
      </c>
      <c r="L8" s="11">
        <f t="shared" si="5"/>
        <v>1.5682999999999998</v>
      </c>
      <c r="M8" s="11">
        <f t="shared" si="8"/>
        <v>2.75</v>
      </c>
      <c r="N8" s="11">
        <f t="shared" si="9"/>
        <v>2.75</v>
      </c>
      <c r="O8" s="11">
        <f t="shared" si="10"/>
        <v>2.75</v>
      </c>
      <c r="P8" s="11">
        <f t="shared" si="11"/>
        <v>2.75</v>
      </c>
      <c r="Q8" s="11">
        <f t="shared" si="12"/>
        <v>2.75</v>
      </c>
      <c r="R8" s="11">
        <f t="shared" si="6"/>
        <v>2.6219000000000001</v>
      </c>
      <c r="S8" s="11">
        <f t="shared" si="7"/>
        <v>2.5082</v>
      </c>
      <c r="T8" s="8" t="s">
        <v>78</v>
      </c>
      <c r="U8" s="27"/>
      <c r="W8" s="9" t="s">
        <v>19</v>
      </c>
      <c r="X8" s="9" t="s">
        <v>34</v>
      </c>
      <c r="Y8" s="10"/>
      <c r="Z8" s="10"/>
      <c r="AA8" s="10"/>
      <c r="AB8" s="10"/>
      <c r="AC8" s="11"/>
    </row>
    <row r="9" spans="1:29" ht="15.75" x14ac:dyDescent="0.25">
      <c r="A9" s="8">
        <v>6</v>
      </c>
      <c r="B9" s="8">
        <v>20.333600000000001</v>
      </c>
      <c r="C9" s="8">
        <v>84.484099999999998</v>
      </c>
      <c r="D9" s="3" t="s">
        <v>7</v>
      </c>
      <c r="E9" s="3">
        <v>3</v>
      </c>
      <c r="F9" s="8">
        <f t="shared" si="0"/>
        <v>2.75</v>
      </c>
      <c r="G9" s="3">
        <v>1814.6790000000001</v>
      </c>
      <c r="H9" s="11">
        <f t="shared" si="1"/>
        <v>2.3809999999999998</v>
      </c>
      <c r="I9" s="11">
        <f t="shared" si="2"/>
        <v>2.2105999999999999</v>
      </c>
      <c r="J9" s="11">
        <f t="shared" si="3"/>
        <v>2.0125999999999999</v>
      </c>
      <c r="K9" s="11">
        <f t="shared" si="4"/>
        <v>1.8076999999999999</v>
      </c>
      <c r="L9" s="11">
        <f t="shared" si="5"/>
        <v>1.5682999999999998</v>
      </c>
      <c r="M9" s="11">
        <f t="shared" si="8"/>
        <v>2.75</v>
      </c>
      <c r="N9" s="11">
        <f t="shared" si="9"/>
        <v>2.75</v>
      </c>
      <c r="O9" s="11">
        <f t="shared" si="10"/>
        <v>2.75</v>
      </c>
      <c r="P9" s="11">
        <f t="shared" si="11"/>
        <v>2.75</v>
      </c>
      <c r="Q9" s="11">
        <f t="shared" si="12"/>
        <v>2.75</v>
      </c>
      <c r="R9" s="11">
        <f t="shared" si="6"/>
        <v>2.6219000000000001</v>
      </c>
      <c r="S9" s="11">
        <f t="shared" si="7"/>
        <v>2.5082</v>
      </c>
      <c r="T9" s="8" t="s">
        <v>78</v>
      </c>
      <c r="U9" s="27"/>
      <c r="W9" s="9" t="s">
        <v>20</v>
      </c>
      <c r="X9" s="9" t="s">
        <v>34</v>
      </c>
      <c r="Y9" s="10"/>
      <c r="Z9" s="10"/>
      <c r="AA9" s="10"/>
      <c r="AB9" s="10"/>
      <c r="AC9" s="11"/>
    </row>
    <row r="10" spans="1:29" ht="15.75" x14ac:dyDescent="0.25">
      <c r="A10" s="8">
        <v>7</v>
      </c>
      <c r="B10" s="8">
        <v>20.334800000000001</v>
      </c>
      <c r="C10" s="8">
        <v>84.484099999999998</v>
      </c>
      <c r="D10" s="3" t="s">
        <v>7</v>
      </c>
      <c r="E10" s="3">
        <v>3</v>
      </c>
      <c r="F10" s="8">
        <f t="shared" si="0"/>
        <v>2.75</v>
      </c>
      <c r="G10" s="3">
        <v>2210.277</v>
      </c>
      <c r="H10" s="11">
        <f t="shared" si="1"/>
        <v>2.3809999999999998</v>
      </c>
      <c r="I10" s="11">
        <f t="shared" si="2"/>
        <v>2.2105999999999999</v>
      </c>
      <c r="J10" s="11">
        <f t="shared" si="3"/>
        <v>2.0125999999999999</v>
      </c>
      <c r="K10" s="11">
        <f t="shared" si="4"/>
        <v>1.8076999999999999</v>
      </c>
      <c r="L10" s="11">
        <f t="shared" si="5"/>
        <v>1.5682999999999998</v>
      </c>
      <c r="M10" s="11">
        <f t="shared" si="8"/>
        <v>2.75</v>
      </c>
      <c r="N10" s="11">
        <f t="shared" si="9"/>
        <v>2.75</v>
      </c>
      <c r="O10" s="11">
        <f t="shared" si="10"/>
        <v>2.75</v>
      </c>
      <c r="P10" s="11">
        <f t="shared" si="11"/>
        <v>2.75</v>
      </c>
      <c r="Q10" s="11">
        <f t="shared" si="12"/>
        <v>2.75</v>
      </c>
      <c r="R10" s="11">
        <f t="shared" si="6"/>
        <v>2.6219000000000001</v>
      </c>
      <c r="S10" s="11">
        <f t="shared" si="7"/>
        <v>2.5082</v>
      </c>
      <c r="T10" s="8" t="s">
        <v>78</v>
      </c>
      <c r="U10" s="27"/>
      <c r="W10" s="9" t="s">
        <v>21</v>
      </c>
      <c r="X10" s="9" t="s">
        <v>34</v>
      </c>
      <c r="Y10" s="10"/>
      <c r="Z10" s="10"/>
      <c r="AA10" s="10"/>
      <c r="AB10" s="10"/>
      <c r="AC10" s="11"/>
    </row>
    <row r="11" spans="1:29" ht="15.75" x14ac:dyDescent="0.25">
      <c r="A11" s="8">
        <v>8</v>
      </c>
      <c r="B11" s="8">
        <v>20.330300000000001</v>
      </c>
      <c r="C11" s="8">
        <v>84.492599999999996</v>
      </c>
      <c r="D11" s="3" t="s">
        <v>7</v>
      </c>
      <c r="E11" s="3">
        <v>2.5</v>
      </c>
      <c r="F11" s="8">
        <f t="shared" si="0"/>
        <v>2.25</v>
      </c>
      <c r="G11" s="3">
        <v>919.38</v>
      </c>
      <c r="H11" s="11">
        <f t="shared" si="1"/>
        <v>1.881</v>
      </c>
      <c r="I11" s="11">
        <f t="shared" si="2"/>
        <v>1.7106000000000001</v>
      </c>
      <c r="J11" s="11">
        <f t="shared" si="3"/>
        <v>1.5126000000000002</v>
      </c>
      <c r="K11" s="11">
        <f t="shared" si="4"/>
        <v>1.3077000000000001</v>
      </c>
      <c r="L11" s="11">
        <f t="shared" si="5"/>
        <v>1.0683</v>
      </c>
      <c r="M11" s="11">
        <f t="shared" si="8"/>
        <v>2.25</v>
      </c>
      <c r="N11" s="11">
        <f t="shared" si="9"/>
        <v>2.25</v>
      </c>
      <c r="O11" s="11">
        <f t="shared" si="10"/>
        <v>2.25</v>
      </c>
      <c r="P11" s="11">
        <f t="shared" si="11"/>
        <v>2.25</v>
      </c>
      <c r="Q11" s="11">
        <f t="shared" si="12"/>
        <v>2.25</v>
      </c>
      <c r="R11" s="11">
        <f t="shared" si="6"/>
        <v>2.1219000000000001</v>
      </c>
      <c r="S11" s="11">
        <f t="shared" si="7"/>
        <v>2.0082</v>
      </c>
      <c r="T11" s="8" t="s">
        <v>78</v>
      </c>
      <c r="U11" s="27"/>
      <c r="W11" s="9" t="s">
        <v>22</v>
      </c>
      <c r="X11" s="9" t="s">
        <v>34</v>
      </c>
      <c r="Y11" s="10"/>
      <c r="Z11" s="10"/>
      <c r="AA11" s="10"/>
      <c r="AB11" s="10"/>
      <c r="AC11" s="11"/>
    </row>
    <row r="12" spans="1:29" ht="15.75" x14ac:dyDescent="0.25">
      <c r="A12" s="8">
        <v>9</v>
      </c>
      <c r="B12" s="8">
        <v>20.330100000000002</v>
      </c>
      <c r="C12" s="8">
        <v>84.492999999999995</v>
      </c>
      <c r="D12" s="3" t="s">
        <v>7</v>
      </c>
      <c r="E12" s="3">
        <v>2.5</v>
      </c>
      <c r="F12" s="8">
        <f t="shared" si="0"/>
        <v>2.25</v>
      </c>
      <c r="G12" s="3">
        <v>860.88099999999997</v>
      </c>
      <c r="H12" s="11">
        <f t="shared" si="1"/>
        <v>1.881</v>
      </c>
      <c r="I12" s="11">
        <f t="shared" si="2"/>
        <v>1.7106000000000001</v>
      </c>
      <c r="J12" s="11">
        <f t="shared" si="3"/>
        <v>1.5126000000000002</v>
      </c>
      <c r="K12" s="11">
        <f t="shared" si="4"/>
        <v>1.3077000000000001</v>
      </c>
      <c r="L12" s="11">
        <f t="shared" si="5"/>
        <v>1.0683</v>
      </c>
      <c r="M12" s="11">
        <f t="shared" si="8"/>
        <v>2.25</v>
      </c>
      <c r="N12" s="11">
        <f t="shared" si="9"/>
        <v>2.25</v>
      </c>
      <c r="O12" s="11">
        <f t="shared" si="10"/>
        <v>2.25</v>
      </c>
      <c r="P12" s="11">
        <f t="shared" si="11"/>
        <v>2.25</v>
      </c>
      <c r="Q12" s="11">
        <f t="shared" si="12"/>
        <v>2.25</v>
      </c>
      <c r="R12" s="11">
        <f t="shared" si="6"/>
        <v>2.1219000000000001</v>
      </c>
      <c r="S12" s="11">
        <f t="shared" si="7"/>
        <v>2.0082</v>
      </c>
      <c r="T12" s="8" t="s">
        <v>78</v>
      </c>
      <c r="U12" s="27"/>
      <c r="W12" s="9" t="s">
        <v>23</v>
      </c>
      <c r="X12" s="9" t="s">
        <v>34</v>
      </c>
      <c r="Y12" s="10"/>
      <c r="Z12" s="10"/>
      <c r="AA12" s="10"/>
      <c r="AB12" s="10"/>
      <c r="AC12" s="11"/>
    </row>
    <row r="13" spans="1:29" ht="15.75" x14ac:dyDescent="0.25">
      <c r="A13" s="8">
        <v>10</v>
      </c>
      <c r="B13" s="8">
        <v>20.3277</v>
      </c>
      <c r="C13" s="8">
        <v>84.4953</v>
      </c>
      <c r="D13" s="3" t="s">
        <v>7</v>
      </c>
      <c r="E13" s="3">
        <v>4</v>
      </c>
      <c r="F13" s="8">
        <f t="shared" si="0"/>
        <v>3.75</v>
      </c>
      <c r="G13" s="3">
        <v>4300.1930000000002</v>
      </c>
      <c r="H13" s="11">
        <f t="shared" si="1"/>
        <v>3.3809999999999998</v>
      </c>
      <c r="I13" s="11">
        <f t="shared" si="2"/>
        <v>3.2105999999999999</v>
      </c>
      <c r="J13" s="11">
        <f t="shared" si="3"/>
        <v>3.0125999999999999</v>
      </c>
      <c r="K13" s="11">
        <f t="shared" si="4"/>
        <v>2.8077000000000001</v>
      </c>
      <c r="L13" s="11">
        <f t="shared" si="5"/>
        <v>2.5683000000000002</v>
      </c>
      <c r="M13" s="11">
        <f t="shared" si="8"/>
        <v>3.75</v>
      </c>
      <c r="N13" s="11">
        <f t="shared" si="9"/>
        <v>3.75</v>
      </c>
      <c r="O13" s="11">
        <f t="shared" si="10"/>
        <v>3.75</v>
      </c>
      <c r="P13" s="11">
        <f t="shared" si="11"/>
        <v>3.75</v>
      </c>
      <c r="Q13" s="11">
        <f t="shared" si="12"/>
        <v>3.75</v>
      </c>
      <c r="R13" s="11">
        <f t="shared" si="6"/>
        <v>3.6219000000000001</v>
      </c>
      <c r="S13" s="11">
        <f t="shared" si="7"/>
        <v>3.5082</v>
      </c>
      <c r="T13" s="8" t="s">
        <v>78</v>
      </c>
      <c r="U13" s="27"/>
      <c r="W13" s="9" t="s">
        <v>24</v>
      </c>
      <c r="X13" s="9" t="s">
        <v>32</v>
      </c>
      <c r="Y13" s="9">
        <v>2.27</v>
      </c>
      <c r="Z13" s="9">
        <v>2</v>
      </c>
      <c r="AA13" s="9">
        <f t="shared" si="13"/>
        <v>4.2699999999999996</v>
      </c>
      <c r="AB13" s="9">
        <f>AA13*30</f>
        <v>128.1</v>
      </c>
      <c r="AC13" s="11">
        <f t="shared" si="15"/>
        <v>0.12809999999999999</v>
      </c>
    </row>
    <row r="14" spans="1:29" ht="15.75" x14ac:dyDescent="0.25">
      <c r="A14" s="8">
        <v>11</v>
      </c>
      <c r="B14" s="8">
        <v>20.328199999999999</v>
      </c>
      <c r="C14" s="8">
        <v>84.495699999999999</v>
      </c>
      <c r="D14" s="3" t="s">
        <v>7</v>
      </c>
      <c r="E14" s="3">
        <v>2</v>
      </c>
      <c r="F14" s="8">
        <f t="shared" si="0"/>
        <v>1.75</v>
      </c>
      <c r="G14" s="3">
        <v>416.87799999999999</v>
      </c>
      <c r="H14" s="11">
        <f t="shared" si="1"/>
        <v>1.3810000000000002</v>
      </c>
      <c r="I14" s="11">
        <f t="shared" si="2"/>
        <v>1.2106000000000003</v>
      </c>
      <c r="J14" s="11">
        <f t="shared" si="3"/>
        <v>1.0126000000000004</v>
      </c>
      <c r="K14" s="11">
        <f t="shared" si="4"/>
        <v>0.80770000000000042</v>
      </c>
      <c r="L14" s="11">
        <f t="shared" si="5"/>
        <v>0.56830000000000047</v>
      </c>
      <c r="M14" s="11">
        <f t="shared" si="8"/>
        <v>1.75</v>
      </c>
      <c r="N14" s="11">
        <f t="shared" si="9"/>
        <v>1.75</v>
      </c>
      <c r="O14" s="11">
        <f t="shared" si="10"/>
        <v>1.75</v>
      </c>
      <c r="P14" s="11">
        <f t="shared" si="11"/>
        <v>1.75</v>
      </c>
      <c r="Q14" s="11">
        <f t="shared" si="12"/>
        <v>1.75</v>
      </c>
      <c r="R14" s="11">
        <f t="shared" si="6"/>
        <v>1.6219000000000001</v>
      </c>
      <c r="S14" s="11">
        <f t="shared" si="7"/>
        <v>1.5082000000000002</v>
      </c>
      <c r="T14" s="8" t="s">
        <v>78</v>
      </c>
      <c r="U14" s="27"/>
      <c r="W14" s="9" t="s">
        <v>25</v>
      </c>
      <c r="X14" s="9" t="s">
        <v>32</v>
      </c>
      <c r="Y14" s="9">
        <v>1.79</v>
      </c>
      <c r="Z14" s="9">
        <v>2</v>
      </c>
      <c r="AA14" s="9">
        <f t="shared" si="13"/>
        <v>3.79</v>
      </c>
      <c r="AB14" s="9">
        <f t="shared" ref="AB14" si="16">AA14*30</f>
        <v>113.7</v>
      </c>
      <c r="AC14" s="11">
        <f t="shared" si="15"/>
        <v>0.11370000000000001</v>
      </c>
    </row>
    <row r="15" spans="1:29" x14ac:dyDescent="0.25">
      <c r="A15" s="8">
        <v>12</v>
      </c>
      <c r="B15" s="8">
        <v>20.3278</v>
      </c>
      <c r="C15" s="8">
        <v>84.495800000000003</v>
      </c>
      <c r="D15" s="3" t="s">
        <v>7</v>
      </c>
      <c r="E15" s="3">
        <v>2</v>
      </c>
      <c r="F15" s="8">
        <f t="shared" si="0"/>
        <v>1.75</v>
      </c>
      <c r="G15" s="3">
        <v>566.22400000000005</v>
      </c>
      <c r="H15" s="11">
        <f t="shared" si="1"/>
        <v>1.3810000000000002</v>
      </c>
      <c r="I15" s="11">
        <f t="shared" si="2"/>
        <v>1.2106000000000003</v>
      </c>
      <c r="J15" s="11">
        <f t="shared" si="3"/>
        <v>1.0126000000000004</v>
      </c>
      <c r="K15" s="11">
        <f t="shared" si="4"/>
        <v>0.80770000000000042</v>
      </c>
      <c r="L15" s="11">
        <f t="shared" si="5"/>
        <v>0.56830000000000047</v>
      </c>
      <c r="M15" s="11">
        <f t="shared" si="8"/>
        <v>1.75</v>
      </c>
      <c r="N15" s="11">
        <f t="shared" si="9"/>
        <v>1.75</v>
      </c>
      <c r="O15" s="11">
        <f t="shared" si="10"/>
        <v>1.75</v>
      </c>
      <c r="P15" s="11">
        <f t="shared" si="11"/>
        <v>1.75</v>
      </c>
      <c r="Q15" s="11">
        <f t="shared" si="12"/>
        <v>1.75</v>
      </c>
      <c r="R15" s="11">
        <f t="shared" si="6"/>
        <v>1.6219000000000001</v>
      </c>
      <c r="S15" s="11">
        <f t="shared" si="7"/>
        <v>1.5082000000000002</v>
      </c>
      <c r="T15" s="8" t="s">
        <v>78</v>
      </c>
      <c r="U15" s="27"/>
    </row>
    <row r="16" spans="1:29" x14ac:dyDescent="0.25">
      <c r="A16" s="8">
        <v>13</v>
      </c>
      <c r="B16" s="8">
        <v>20.320599999999999</v>
      </c>
      <c r="C16" s="8">
        <v>84.495900000000006</v>
      </c>
      <c r="D16" s="3" t="s">
        <v>7</v>
      </c>
      <c r="E16" s="3">
        <v>3</v>
      </c>
      <c r="F16" s="8">
        <f t="shared" si="0"/>
        <v>2.75</v>
      </c>
      <c r="G16" s="3">
        <v>1605.787</v>
      </c>
      <c r="H16" s="11">
        <f t="shared" si="1"/>
        <v>2.3809999999999998</v>
      </c>
      <c r="I16" s="11">
        <f t="shared" si="2"/>
        <v>2.2105999999999999</v>
      </c>
      <c r="J16" s="11">
        <f t="shared" si="3"/>
        <v>2.0125999999999999</v>
      </c>
      <c r="K16" s="11">
        <f t="shared" si="4"/>
        <v>1.8076999999999999</v>
      </c>
      <c r="L16" s="11">
        <f t="shared" si="5"/>
        <v>1.5682999999999998</v>
      </c>
      <c r="M16" s="11">
        <f t="shared" si="8"/>
        <v>2.75</v>
      </c>
      <c r="N16" s="11">
        <f t="shared" si="9"/>
        <v>2.75</v>
      </c>
      <c r="O16" s="11">
        <f t="shared" si="10"/>
        <v>2.75</v>
      </c>
      <c r="P16" s="11">
        <f t="shared" si="11"/>
        <v>2.75</v>
      </c>
      <c r="Q16" s="11">
        <f t="shared" si="12"/>
        <v>2.75</v>
      </c>
      <c r="R16" s="11">
        <f t="shared" si="6"/>
        <v>2.6219000000000001</v>
      </c>
      <c r="S16" s="11">
        <f t="shared" si="7"/>
        <v>2.5082</v>
      </c>
      <c r="T16" s="8" t="s">
        <v>78</v>
      </c>
      <c r="U16" s="27"/>
    </row>
    <row r="17" spans="1:26" x14ac:dyDescent="0.25">
      <c r="A17" s="8">
        <v>14</v>
      </c>
      <c r="B17" s="8">
        <v>20.329699999999999</v>
      </c>
      <c r="C17" s="8">
        <v>84.505499999999998</v>
      </c>
      <c r="D17" s="3" t="s">
        <v>7</v>
      </c>
      <c r="E17" s="3">
        <v>4</v>
      </c>
      <c r="F17" s="8">
        <f t="shared" si="0"/>
        <v>3.75</v>
      </c>
      <c r="G17" s="3">
        <v>3999.759</v>
      </c>
      <c r="H17" s="11">
        <f t="shared" si="1"/>
        <v>3.3809999999999998</v>
      </c>
      <c r="I17" s="11">
        <f t="shared" si="2"/>
        <v>3.2105999999999999</v>
      </c>
      <c r="J17" s="11">
        <f t="shared" si="3"/>
        <v>3.0125999999999999</v>
      </c>
      <c r="K17" s="11">
        <f t="shared" si="4"/>
        <v>2.8077000000000001</v>
      </c>
      <c r="L17" s="11">
        <f t="shared" si="5"/>
        <v>2.5683000000000002</v>
      </c>
      <c r="M17" s="11">
        <f t="shared" si="8"/>
        <v>3.75</v>
      </c>
      <c r="N17" s="11">
        <f t="shared" si="9"/>
        <v>3.75</v>
      </c>
      <c r="O17" s="11">
        <f t="shared" si="10"/>
        <v>3.75</v>
      </c>
      <c r="P17" s="11">
        <f t="shared" si="11"/>
        <v>3.75</v>
      </c>
      <c r="Q17" s="11">
        <f t="shared" si="12"/>
        <v>3.75</v>
      </c>
      <c r="R17" s="11">
        <f t="shared" si="6"/>
        <v>3.6219000000000001</v>
      </c>
      <c r="S17" s="11">
        <f t="shared" si="7"/>
        <v>3.5082</v>
      </c>
      <c r="T17" s="8" t="s">
        <v>78</v>
      </c>
      <c r="U17" s="27"/>
    </row>
    <row r="18" spans="1:26" x14ac:dyDescent="0.25">
      <c r="A18" s="8">
        <v>15</v>
      </c>
      <c r="B18" s="8">
        <v>20.3354</v>
      </c>
      <c r="C18" s="8">
        <v>84.507300000000001</v>
      </c>
      <c r="D18" s="3" t="s">
        <v>7</v>
      </c>
      <c r="E18" s="3">
        <v>3</v>
      </c>
      <c r="F18" s="8">
        <f t="shared" si="0"/>
        <v>2.75</v>
      </c>
      <c r="G18" s="3">
        <v>612.67499999999995</v>
      </c>
      <c r="H18" s="11">
        <f t="shared" si="1"/>
        <v>2.3809999999999998</v>
      </c>
      <c r="I18" s="11">
        <f t="shared" si="2"/>
        <v>2.2105999999999999</v>
      </c>
      <c r="J18" s="11">
        <f t="shared" si="3"/>
        <v>2.0125999999999999</v>
      </c>
      <c r="K18" s="11">
        <f t="shared" si="4"/>
        <v>1.8076999999999999</v>
      </c>
      <c r="L18" s="11">
        <f t="shared" si="5"/>
        <v>1.5682999999999998</v>
      </c>
      <c r="M18" s="11">
        <f t="shared" si="8"/>
        <v>2.75</v>
      </c>
      <c r="N18" s="11">
        <f t="shared" si="9"/>
        <v>2.75</v>
      </c>
      <c r="O18" s="11">
        <f t="shared" si="10"/>
        <v>2.75</v>
      </c>
      <c r="P18" s="11">
        <f t="shared" si="11"/>
        <v>2.75</v>
      </c>
      <c r="Q18" s="11">
        <f t="shared" si="12"/>
        <v>2.75</v>
      </c>
      <c r="R18" s="11">
        <f t="shared" si="6"/>
        <v>2.6219000000000001</v>
      </c>
      <c r="S18" s="11">
        <f t="shared" si="7"/>
        <v>2.5082</v>
      </c>
      <c r="T18" s="8" t="s">
        <v>78</v>
      </c>
      <c r="U18" s="27"/>
    </row>
    <row r="19" spans="1:26" x14ac:dyDescent="0.25">
      <c r="A19" s="8">
        <v>16</v>
      </c>
      <c r="B19" s="8">
        <v>20.335699999999999</v>
      </c>
      <c r="C19" s="8">
        <v>84.507499999999993</v>
      </c>
      <c r="D19" s="3" t="s">
        <v>7</v>
      </c>
      <c r="E19" s="3">
        <v>2</v>
      </c>
      <c r="F19" s="8">
        <f t="shared" si="0"/>
        <v>1.75</v>
      </c>
      <c r="G19" s="3">
        <v>256.80099999999999</v>
      </c>
      <c r="H19" s="11">
        <f t="shared" si="1"/>
        <v>1.3810000000000002</v>
      </c>
      <c r="I19" s="11">
        <f t="shared" si="2"/>
        <v>1.2106000000000003</v>
      </c>
      <c r="J19" s="11">
        <f t="shared" si="3"/>
        <v>1.0126000000000004</v>
      </c>
      <c r="K19" s="11">
        <f t="shared" si="4"/>
        <v>0.80770000000000042</v>
      </c>
      <c r="L19" s="11">
        <f t="shared" si="5"/>
        <v>0.56830000000000047</v>
      </c>
      <c r="M19" s="11">
        <f t="shared" si="8"/>
        <v>1.75</v>
      </c>
      <c r="N19" s="11">
        <f t="shared" si="9"/>
        <v>1.75</v>
      </c>
      <c r="O19" s="11">
        <f t="shared" si="10"/>
        <v>1.75</v>
      </c>
      <c r="P19" s="11">
        <f t="shared" si="11"/>
        <v>1.75</v>
      </c>
      <c r="Q19" s="11">
        <f t="shared" si="12"/>
        <v>1.75</v>
      </c>
      <c r="R19" s="11">
        <f t="shared" si="6"/>
        <v>1.6219000000000001</v>
      </c>
      <c r="S19" s="11">
        <f t="shared" si="7"/>
        <v>1.5082000000000002</v>
      </c>
      <c r="T19" s="8" t="s">
        <v>78</v>
      </c>
      <c r="U19" s="27"/>
    </row>
    <row r="20" spans="1:26" x14ac:dyDescent="0.25">
      <c r="A20" s="8">
        <v>17</v>
      </c>
      <c r="B20" s="8">
        <v>20.334099999999999</v>
      </c>
      <c r="C20" s="8">
        <v>84.500699999999995</v>
      </c>
      <c r="D20" s="3" t="s">
        <v>7</v>
      </c>
      <c r="E20" s="3">
        <v>3</v>
      </c>
      <c r="F20" s="8">
        <f t="shared" si="0"/>
        <v>2.75</v>
      </c>
      <c r="G20" s="3">
        <v>837.40800000000002</v>
      </c>
      <c r="H20" s="11">
        <f t="shared" si="1"/>
        <v>2.3809999999999998</v>
      </c>
      <c r="I20" s="11">
        <f t="shared" si="2"/>
        <v>2.2105999999999999</v>
      </c>
      <c r="J20" s="11">
        <f t="shared" si="3"/>
        <v>2.0125999999999999</v>
      </c>
      <c r="K20" s="11">
        <f t="shared" si="4"/>
        <v>1.8076999999999999</v>
      </c>
      <c r="L20" s="11">
        <f t="shared" si="5"/>
        <v>1.5682999999999998</v>
      </c>
      <c r="M20" s="11">
        <f t="shared" si="8"/>
        <v>2.75</v>
      </c>
      <c r="N20" s="11">
        <f t="shared" si="9"/>
        <v>2.75</v>
      </c>
      <c r="O20" s="11">
        <f t="shared" si="10"/>
        <v>2.75</v>
      </c>
      <c r="P20" s="11">
        <f t="shared" si="11"/>
        <v>2.75</v>
      </c>
      <c r="Q20" s="11">
        <f t="shared" si="12"/>
        <v>2.75</v>
      </c>
      <c r="R20" s="11">
        <f t="shared" si="6"/>
        <v>2.6219000000000001</v>
      </c>
      <c r="S20" s="11">
        <f t="shared" si="7"/>
        <v>2.5082</v>
      </c>
      <c r="T20" s="8" t="s">
        <v>78</v>
      </c>
      <c r="U20" s="27"/>
    </row>
    <row r="21" spans="1:26" x14ac:dyDescent="0.25">
      <c r="A21" s="8">
        <v>18</v>
      </c>
      <c r="B21" s="8">
        <v>20.3401</v>
      </c>
      <c r="C21" s="8">
        <v>84.506799999999998</v>
      </c>
      <c r="D21" s="3" t="s">
        <v>7</v>
      </c>
      <c r="E21" s="3">
        <v>2</v>
      </c>
      <c r="F21" s="8">
        <f t="shared" si="0"/>
        <v>1.75</v>
      </c>
      <c r="G21" s="3">
        <v>268.02199999999999</v>
      </c>
      <c r="H21" s="11">
        <f t="shared" si="1"/>
        <v>1.3810000000000002</v>
      </c>
      <c r="I21" s="11">
        <f t="shared" si="2"/>
        <v>1.2106000000000003</v>
      </c>
      <c r="J21" s="11">
        <f t="shared" si="3"/>
        <v>1.0126000000000004</v>
      </c>
      <c r="K21" s="11">
        <f t="shared" si="4"/>
        <v>0.80770000000000042</v>
      </c>
      <c r="L21" s="11">
        <f t="shared" si="5"/>
        <v>0.56830000000000047</v>
      </c>
      <c r="M21" s="11">
        <f t="shared" si="8"/>
        <v>1.75</v>
      </c>
      <c r="N21" s="11">
        <f t="shared" si="9"/>
        <v>1.75</v>
      </c>
      <c r="O21" s="11">
        <f t="shared" si="10"/>
        <v>1.75</v>
      </c>
      <c r="P21" s="11">
        <f t="shared" si="11"/>
        <v>1.75</v>
      </c>
      <c r="Q21" s="11">
        <f t="shared" si="12"/>
        <v>1.75</v>
      </c>
      <c r="R21" s="11">
        <f t="shared" si="6"/>
        <v>1.6219000000000001</v>
      </c>
      <c r="S21" s="11">
        <f t="shared" si="7"/>
        <v>1.5082000000000002</v>
      </c>
      <c r="T21" s="8" t="s">
        <v>78</v>
      </c>
      <c r="U21" s="27"/>
      <c r="Y21" t="s">
        <v>38</v>
      </c>
      <c r="Z21">
        <v>0.25</v>
      </c>
    </row>
    <row r="22" spans="1:26" x14ac:dyDescent="0.25">
      <c r="A22" s="8">
        <v>19</v>
      </c>
      <c r="B22" s="8">
        <v>20.341999999999999</v>
      </c>
      <c r="C22" s="8">
        <v>84.491399999999999</v>
      </c>
      <c r="D22" s="3" t="s">
        <v>7</v>
      </c>
      <c r="E22" s="3">
        <v>3</v>
      </c>
      <c r="F22" s="8">
        <f t="shared" si="0"/>
        <v>2.75</v>
      </c>
      <c r="G22" s="3">
        <v>1475.201</v>
      </c>
      <c r="H22" s="11">
        <f t="shared" si="1"/>
        <v>2.3809999999999998</v>
      </c>
      <c r="I22" s="11">
        <f t="shared" si="2"/>
        <v>2.2105999999999999</v>
      </c>
      <c r="J22" s="11">
        <f t="shared" si="3"/>
        <v>2.0125999999999999</v>
      </c>
      <c r="K22" s="11">
        <f t="shared" si="4"/>
        <v>1.8076999999999999</v>
      </c>
      <c r="L22" s="11">
        <f t="shared" si="5"/>
        <v>1.5682999999999998</v>
      </c>
      <c r="M22" s="11">
        <f t="shared" si="8"/>
        <v>2.75</v>
      </c>
      <c r="N22" s="11">
        <f t="shared" si="9"/>
        <v>2.75</v>
      </c>
      <c r="O22" s="11">
        <f t="shared" si="10"/>
        <v>2.75</v>
      </c>
      <c r="P22" s="11">
        <f t="shared" si="11"/>
        <v>2.75</v>
      </c>
      <c r="Q22" s="11">
        <f t="shared" si="12"/>
        <v>2.75</v>
      </c>
      <c r="R22" s="11">
        <f t="shared" si="6"/>
        <v>2.6219000000000001</v>
      </c>
      <c r="S22" s="11">
        <f t="shared" si="7"/>
        <v>2.5082</v>
      </c>
      <c r="T22" s="8" t="s">
        <v>78</v>
      </c>
      <c r="U22" s="27"/>
    </row>
    <row r="23" spans="1:26" x14ac:dyDescent="0.25">
      <c r="A23" s="8">
        <v>20</v>
      </c>
      <c r="B23" s="8">
        <v>20.3443</v>
      </c>
      <c r="C23" s="8">
        <v>84.494600000000005</v>
      </c>
      <c r="D23" s="3" t="s">
        <v>7</v>
      </c>
      <c r="E23" s="3">
        <v>2</v>
      </c>
      <c r="F23" s="8">
        <f t="shared" si="0"/>
        <v>1.75</v>
      </c>
      <c r="G23" s="3">
        <v>547.79499999999996</v>
      </c>
      <c r="H23" s="11">
        <f t="shared" si="1"/>
        <v>1.3810000000000002</v>
      </c>
      <c r="I23" s="11">
        <f t="shared" si="2"/>
        <v>1.2106000000000003</v>
      </c>
      <c r="J23" s="11">
        <f t="shared" si="3"/>
        <v>1.0126000000000004</v>
      </c>
      <c r="K23" s="11">
        <f t="shared" si="4"/>
        <v>0.80770000000000042</v>
      </c>
      <c r="L23" s="11">
        <f t="shared" si="5"/>
        <v>0.56830000000000047</v>
      </c>
      <c r="M23" s="11">
        <f t="shared" si="8"/>
        <v>1.75</v>
      </c>
      <c r="N23" s="11">
        <f t="shared" si="9"/>
        <v>1.75</v>
      </c>
      <c r="O23" s="11">
        <f t="shared" si="10"/>
        <v>1.75</v>
      </c>
      <c r="P23" s="11">
        <f t="shared" si="11"/>
        <v>1.75</v>
      </c>
      <c r="Q23" s="11">
        <f t="shared" si="12"/>
        <v>1.75</v>
      </c>
      <c r="R23" s="11">
        <f t="shared" si="6"/>
        <v>1.6219000000000001</v>
      </c>
      <c r="S23" s="11">
        <f t="shared" si="7"/>
        <v>1.5082000000000002</v>
      </c>
      <c r="T23" s="8" t="s">
        <v>78</v>
      </c>
      <c r="U23" s="27"/>
    </row>
    <row r="24" spans="1:26" x14ac:dyDescent="0.25">
      <c r="A24" s="8">
        <v>21</v>
      </c>
      <c r="B24" s="8">
        <v>20.343699999999998</v>
      </c>
      <c r="C24" s="8">
        <v>84.495699999999999</v>
      </c>
      <c r="D24" s="3" t="s">
        <v>7</v>
      </c>
      <c r="E24" s="3">
        <v>2</v>
      </c>
      <c r="F24" s="8">
        <f t="shared" si="0"/>
        <v>1.75</v>
      </c>
      <c r="G24" s="3">
        <v>961.07899999999995</v>
      </c>
      <c r="H24" s="11">
        <f t="shared" si="1"/>
        <v>1.3810000000000002</v>
      </c>
      <c r="I24" s="11">
        <f t="shared" si="2"/>
        <v>1.2106000000000003</v>
      </c>
      <c r="J24" s="11">
        <f t="shared" si="3"/>
        <v>1.0126000000000004</v>
      </c>
      <c r="K24" s="11">
        <f t="shared" si="4"/>
        <v>0.80770000000000042</v>
      </c>
      <c r="L24" s="11">
        <f t="shared" si="5"/>
        <v>0.56830000000000047</v>
      </c>
      <c r="M24" s="11">
        <f t="shared" si="8"/>
        <v>1.75</v>
      </c>
      <c r="N24" s="11">
        <f t="shared" si="9"/>
        <v>1.75</v>
      </c>
      <c r="O24" s="11">
        <f t="shared" si="10"/>
        <v>1.75</v>
      </c>
      <c r="P24" s="11">
        <f t="shared" si="11"/>
        <v>1.75</v>
      </c>
      <c r="Q24" s="11">
        <f t="shared" si="12"/>
        <v>1.75</v>
      </c>
      <c r="R24" s="11">
        <f t="shared" si="6"/>
        <v>1.6219000000000001</v>
      </c>
      <c r="S24" s="11">
        <f t="shared" si="7"/>
        <v>1.5082000000000002</v>
      </c>
      <c r="T24" s="8" t="s">
        <v>78</v>
      </c>
      <c r="U24" s="27"/>
    </row>
    <row r="25" spans="1:26" x14ac:dyDescent="0.25">
      <c r="A25" s="8">
        <v>22</v>
      </c>
      <c r="B25" s="8">
        <v>20.350000000000001</v>
      </c>
      <c r="C25" s="8">
        <v>84.504199999999997</v>
      </c>
      <c r="D25" s="3" t="s">
        <v>7</v>
      </c>
      <c r="E25" s="3">
        <v>2</v>
      </c>
      <c r="F25" s="8">
        <f t="shared" si="0"/>
        <v>1.75</v>
      </c>
      <c r="G25" s="3">
        <v>1278.8209999999999</v>
      </c>
      <c r="H25" s="11">
        <f t="shared" si="1"/>
        <v>1.3810000000000002</v>
      </c>
      <c r="I25" s="11">
        <f t="shared" si="2"/>
        <v>1.2106000000000003</v>
      </c>
      <c r="J25" s="11">
        <f t="shared" si="3"/>
        <v>1.0126000000000004</v>
      </c>
      <c r="K25" s="11">
        <f t="shared" si="4"/>
        <v>0.80770000000000042</v>
      </c>
      <c r="L25" s="11">
        <f t="shared" si="5"/>
        <v>0.56830000000000047</v>
      </c>
      <c r="M25" s="11">
        <f t="shared" si="8"/>
        <v>1.75</v>
      </c>
      <c r="N25" s="11">
        <f t="shared" si="9"/>
        <v>1.75</v>
      </c>
      <c r="O25" s="11">
        <f t="shared" si="10"/>
        <v>1.75</v>
      </c>
      <c r="P25" s="11">
        <f t="shared" si="11"/>
        <v>1.75</v>
      </c>
      <c r="Q25" s="11">
        <f t="shared" si="12"/>
        <v>1.75</v>
      </c>
      <c r="R25" s="11">
        <f t="shared" si="6"/>
        <v>1.6219000000000001</v>
      </c>
      <c r="S25" s="11">
        <f t="shared" si="7"/>
        <v>1.5082000000000002</v>
      </c>
      <c r="T25" s="8" t="s">
        <v>77</v>
      </c>
      <c r="U25" s="27"/>
    </row>
    <row r="26" spans="1:26" x14ac:dyDescent="0.25">
      <c r="A26" s="8">
        <v>23</v>
      </c>
      <c r="B26" s="8">
        <v>20.349900000000002</v>
      </c>
      <c r="C26" s="8">
        <v>84.508799999999994</v>
      </c>
      <c r="D26" s="3" t="s">
        <v>7</v>
      </c>
      <c r="E26" s="3">
        <v>2</v>
      </c>
      <c r="F26" s="8">
        <f t="shared" si="0"/>
        <v>1.75</v>
      </c>
      <c r="G26" s="3">
        <v>4606.277</v>
      </c>
      <c r="H26" s="11">
        <f t="shared" si="1"/>
        <v>1.3810000000000002</v>
      </c>
      <c r="I26" s="11">
        <f t="shared" si="2"/>
        <v>1.2106000000000003</v>
      </c>
      <c r="J26" s="11">
        <f t="shared" si="3"/>
        <v>1.0126000000000004</v>
      </c>
      <c r="K26" s="11">
        <f t="shared" si="4"/>
        <v>0.80770000000000042</v>
      </c>
      <c r="L26" s="11">
        <f t="shared" si="5"/>
        <v>0.56830000000000047</v>
      </c>
      <c r="M26" s="11">
        <f t="shared" si="8"/>
        <v>1.75</v>
      </c>
      <c r="N26" s="11">
        <f t="shared" si="9"/>
        <v>1.75</v>
      </c>
      <c r="O26" s="11">
        <f t="shared" si="10"/>
        <v>1.75</v>
      </c>
      <c r="P26" s="11">
        <f t="shared" si="11"/>
        <v>1.75</v>
      </c>
      <c r="Q26" s="11">
        <f t="shared" si="12"/>
        <v>1.75</v>
      </c>
      <c r="R26" s="11">
        <f t="shared" si="6"/>
        <v>1.6219000000000001</v>
      </c>
      <c r="S26" s="11">
        <f t="shared" si="7"/>
        <v>1.5082000000000002</v>
      </c>
      <c r="T26" s="8" t="s">
        <v>77</v>
      </c>
      <c r="U26" s="27"/>
    </row>
    <row r="27" spans="1:26" x14ac:dyDescent="0.25">
      <c r="A27" s="8">
        <v>24</v>
      </c>
      <c r="B27" s="8">
        <v>20.3583</v>
      </c>
      <c r="C27" s="8">
        <v>84.5274</v>
      </c>
      <c r="D27" s="3" t="s">
        <v>7</v>
      </c>
      <c r="E27" s="3">
        <v>3</v>
      </c>
      <c r="F27" s="8">
        <f t="shared" si="0"/>
        <v>2.75</v>
      </c>
      <c r="G27" s="3">
        <v>2942.5219999999999</v>
      </c>
      <c r="H27" s="11">
        <f t="shared" si="1"/>
        <v>2.3809999999999998</v>
      </c>
      <c r="I27" s="11">
        <f t="shared" si="2"/>
        <v>2.2105999999999999</v>
      </c>
      <c r="J27" s="11">
        <f t="shared" si="3"/>
        <v>2.0125999999999999</v>
      </c>
      <c r="K27" s="11">
        <f t="shared" si="4"/>
        <v>1.8076999999999999</v>
      </c>
      <c r="L27" s="11">
        <f t="shared" si="5"/>
        <v>1.5682999999999998</v>
      </c>
      <c r="M27" s="11">
        <f t="shared" si="8"/>
        <v>2.75</v>
      </c>
      <c r="N27" s="11">
        <f t="shared" si="9"/>
        <v>2.75</v>
      </c>
      <c r="O27" s="11">
        <f t="shared" si="10"/>
        <v>2.75</v>
      </c>
      <c r="P27" s="11">
        <f t="shared" si="11"/>
        <v>2.75</v>
      </c>
      <c r="Q27" s="11">
        <f t="shared" si="12"/>
        <v>2.75</v>
      </c>
      <c r="R27" s="11">
        <f t="shared" si="6"/>
        <v>2.6219000000000001</v>
      </c>
      <c r="S27" s="11">
        <f t="shared" si="7"/>
        <v>2.5082</v>
      </c>
      <c r="T27" s="8" t="s">
        <v>77</v>
      </c>
      <c r="U27" s="27"/>
    </row>
    <row r="28" spans="1:26" x14ac:dyDescent="0.25">
      <c r="A28" s="8">
        <v>25</v>
      </c>
      <c r="B28" s="8">
        <v>20.358599999999999</v>
      </c>
      <c r="C28" s="8">
        <v>84.526300000000006</v>
      </c>
      <c r="D28" s="3" t="s">
        <v>7</v>
      </c>
      <c r="E28" s="3">
        <v>3</v>
      </c>
      <c r="F28" s="8">
        <f t="shared" si="0"/>
        <v>2.75</v>
      </c>
      <c r="G28" s="3">
        <v>3953.2750000000001</v>
      </c>
      <c r="H28" s="11">
        <f t="shared" si="1"/>
        <v>2.3809999999999998</v>
      </c>
      <c r="I28" s="11">
        <f t="shared" si="2"/>
        <v>2.2105999999999999</v>
      </c>
      <c r="J28" s="11">
        <f t="shared" si="3"/>
        <v>2.0125999999999999</v>
      </c>
      <c r="K28" s="11">
        <f t="shared" si="4"/>
        <v>1.8076999999999999</v>
      </c>
      <c r="L28" s="11">
        <f t="shared" si="5"/>
        <v>1.5682999999999998</v>
      </c>
      <c r="M28" s="11">
        <f t="shared" si="8"/>
        <v>2.75</v>
      </c>
      <c r="N28" s="11">
        <f t="shared" si="9"/>
        <v>2.75</v>
      </c>
      <c r="O28" s="11">
        <f t="shared" si="10"/>
        <v>2.75</v>
      </c>
      <c r="P28" s="11">
        <f t="shared" si="11"/>
        <v>2.75</v>
      </c>
      <c r="Q28" s="11">
        <f t="shared" si="12"/>
        <v>2.75</v>
      </c>
      <c r="R28" s="11">
        <f t="shared" si="6"/>
        <v>2.6219000000000001</v>
      </c>
      <c r="S28" s="11">
        <f t="shared" si="7"/>
        <v>2.5082</v>
      </c>
      <c r="T28" s="8" t="s">
        <v>77</v>
      </c>
      <c r="U28" s="27"/>
    </row>
    <row r="29" spans="1:26" x14ac:dyDescent="0.25">
      <c r="A29" s="8">
        <v>26</v>
      </c>
      <c r="B29" s="8">
        <v>20.363900000000001</v>
      </c>
      <c r="C29" s="8">
        <v>84.52</v>
      </c>
      <c r="D29" s="3" t="s">
        <v>7</v>
      </c>
      <c r="E29" s="3">
        <v>2</v>
      </c>
      <c r="F29" s="8">
        <f t="shared" si="0"/>
        <v>1.75</v>
      </c>
      <c r="G29" s="3">
        <v>471.59100000000001</v>
      </c>
      <c r="H29" s="11">
        <f t="shared" si="1"/>
        <v>1.3810000000000002</v>
      </c>
      <c r="I29" s="11">
        <f t="shared" si="2"/>
        <v>1.2106000000000003</v>
      </c>
      <c r="J29" s="11">
        <f t="shared" si="3"/>
        <v>1.0126000000000004</v>
      </c>
      <c r="K29" s="11">
        <f t="shared" si="4"/>
        <v>0.80770000000000042</v>
      </c>
      <c r="L29" s="11">
        <f t="shared" si="5"/>
        <v>0.56830000000000047</v>
      </c>
      <c r="M29" s="11">
        <f t="shared" si="8"/>
        <v>1.75</v>
      </c>
      <c r="N29" s="11">
        <f t="shared" si="9"/>
        <v>1.75</v>
      </c>
      <c r="O29" s="11">
        <f t="shared" si="10"/>
        <v>1.75</v>
      </c>
      <c r="P29" s="11">
        <f t="shared" si="11"/>
        <v>1.75</v>
      </c>
      <c r="Q29" s="11">
        <f t="shared" si="12"/>
        <v>1.75</v>
      </c>
      <c r="R29" s="11">
        <f t="shared" si="6"/>
        <v>1.6219000000000001</v>
      </c>
      <c r="S29" s="11">
        <f t="shared" si="7"/>
        <v>1.5082000000000002</v>
      </c>
      <c r="T29" s="8" t="s">
        <v>77</v>
      </c>
      <c r="U29" s="27"/>
    </row>
    <row r="30" spans="1:26" x14ac:dyDescent="0.25">
      <c r="A30" s="8">
        <v>27</v>
      </c>
      <c r="B30" s="8">
        <v>20.3749</v>
      </c>
      <c r="C30" s="8">
        <v>84.529799999999994</v>
      </c>
      <c r="D30" s="3" t="s">
        <v>7</v>
      </c>
      <c r="E30" s="3">
        <v>4</v>
      </c>
      <c r="F30" s="8">
        <f t="shared" si="0"/>
        <v>3.75</v>
      </c>
      <c r="G30" s="3">
        <v>4213.7640000000001</v>
      </c>
      <c r="H30" s="11">
        <f t="shared" si="1"/>
        <v>3.3809999999999998</v>
      </c>
      <c r="I30" s="11">
        <f t="shared" si="2"/>
        <v>3.2105999999999999</v>
      </c>
      <c r="J30" s="11">
        <f t="shared" si="3"/>
        <v>3.0125999999999999</v>
      </c>
      <c r="K30" s="11">
        <f t="shared" si="4"/>
        <v>2.8077000000000001</v>
      </c>
      <c r="L30" s="11">
        <f t="shared" si="5"/>
        <v>2.5683000000000002</v>
      </c>
      <c r="M30" s="11">
        <f t="shared" si="8"/>
        <v>3.75</v>
      </c>
      <c r="N30" s="11">
        <f t="shared" si="9"/>
        <v>3.75</v>
      </c>
      <c r="O30" s="11">
        <f t="shared" si="10"/>
        <v>3.75</v>
      </c>
      <c r="P30" s="11">
        <f t="shared" si="11"/>
        <v>3.75</v>
      </c>
      <c r="Q30" s="11">
        <f t="shared" si="12"/>
        <v>3.75</v>
      </c>
      <c r="R30" s="11">
        <f t="shared" si="6"/>
        <v>3.6219000000000001</v>
      </c>
      <c r="S30" s="11">
        <f t="shared" si="7"/>
        <v>3.5082</v>
      </c>
      <c r="T30" s="8" t="s">
        <v>77</v>
      </c>
      <c r="U30" s="27"/>
    </row>
    <row r="31" spans="1:26" x14ac:dyDescent="0.25">
      <c r="A31" s="8">
        <v>28</v>
      </c>
      <c r="B31" s="8">
        <v>20.372399999999999</v>
      </c>
      <c r="C31" s="8">
        <v>84.534599999999998</v>
      </c>
      <c r="D31" s="3" t="s">
        <v>7</v>
      </c>
      <c r="E31" s="3">
        <v>2</v>
      </c>
      <c r="F31" s="8">
        <f t="shared" si="0"/>
        <v>1.75</v>
      </c>
      <c r="G31" s="3">
        <v>986.46699999999998</v>
      </c>
      <c r="H31" s="11">
        <f t="shared" si="1"/>
        <v>1.3810000000000002</v>
      </c>
      <c r="I31" s="11">
        <f t="shared" si="2"/>
        <v>1.2106000000000003</v>
      </c>
      <c r="J31" s="11">
        <f t="shared" si="3"/>
        <v>1.0126000000000004</v>
      </c>
      <c r="K31" s="11">
        <f t="shared" si="4"/>
        <v>0.80770000000000042</v>
      </c>
      <c r="L31" s="11">
        <f t="shared" si="5"/>
        <v>0.56830000000000047</v>
      </c>
      <c r="M31" s="11">
        <f t="shared" si="8"/>
        <v>1.75</v>
      </c>
      <c r="N31" s="11">
        <f t="shared" si="9"/>
        <v>1.75</v>
      </c>
      <c r="O31" s="11">
        <f t="shared" si="10"/>
        <v>1.75</v>
      </c>
      <c r="P31" s="11">
        <f t="shared" si="11"/>
        <v>1.75</v>
      </c>
      <c r="Q31" s="11">
        <f t="shared" si="12"/>
        <v>1.75</v>
      </c>
      <c r="R31" s="11">
        <f t="shared" si="6"/>
        <v>1.6219000000000001</v>
      </c>
      <c r="S31" s="11">
        <f t="shared" si="7"/>
        <v>1.5082000000000002</v>
      </c>
      <c r="T31" s="8" t="s">
        <v>77</v>
      </c>
      <c r="U31" s="27"/>
    </row>
    <row r="32" spans="1:26" x14ac:dyDescent="0.25">
      <c r="A32" s="8">
        <v>29</v>
      </c>
      <c r="B32" s="8">
        <v>20.358499999999999</v>
      </c>
      <c r="C32" s="8">
        <v>84.548599999999993</v>
      </c>
      <c r="D32" s="3" t="s">
        <v>7</v>
      </c>
      <c r="E32" s="3">
        <v>2</v>
      </c>
      <c r="F32" s="8">
        <f t="shared" si="0"/>
        <v>1.75</v>
      </c>
      <c r="G32" s="3">
        <v>40274.544999999998</v>
      </c>
      <c r="H32" s="11">
        <f t="shared" si="1"/>
        <v>1.3810000000000002</v>
      </c>
      <c r="I32" s="11">
        <f t="shared" si="2"/>
        <v>1.2106000000000003</v>
      </c>
      <c r="J32" s="11">
        <f t="shared" si="3"/>
        <v>1.0126000000000004</v>
      </c>
      <c r="K32" s="11">
        <f t="shared" si="4"/>
        <v>0.80770000000000042</v>
      </c>
      <c r="L32" s="11">
        <f t="shared" si="5"/>
        <v>0.56830000000000047</v>
      </c>
      <c r="M32" s="11">
        <f t="shared" si="8"/>
        <v>1.75</v>
      </c>
      <c r="N32" s="11">
        <f t="shared" si="9"/>
        <v>1.75</v>
      </c>
      <c r="O32" s="11">
        <f t="shared" si="10"/>
        <v>1.75</v>
      </c>
      <c r="P32" s="11">
        <f t="shared" si="11"/>
        <v>1.75</v>
      </c>
      <c r="Q32" s="11">
        <f t="shared" si="12"/>
        <v>1.75</v>
      </c>
      <c r="R32" s="11">
        <f t="shared" si="6"/>
        <v>1.6219000000000001</v>
      </c>
      <c r="S32" s="11">
        <f t="shared" si="7"/>
        <v>1.5082000000000002</v>
      </c>
      <c r="T32" s="8" t="s">
        <v>85</v>
      </c>
      <c r="U32" s="27"/>
    </row>
    <row r="33" spans="1:21" x14ac:dyDescent="0.25">
      <c r="A33" s="8">
        <v>30</v>
      </c>
      <c r="B33" s="8">
        <v>20.366599999999998</v>
      </c>
      <c r="C33" s="8">
        <v>84.552000000000007</v>
      </c>
      <c r="D33" s="3" t="s">
        <v>7</v>
      </c>
      <c r="E33" s="3">
        <v>3</v>
      </c>
      <c r="F33" s="8">
        <f t="shared" si="0"/>
        <v>2.75</v>
      </c>
      <c r="G33" s="3">
        <v>1801.3510000000001</v>
      </c>
      <c r="H33" s="11">
        <f t="shared" si="1"/>
        <v>2.3809999999999998</v>
      </c>
      <c r="I33" s="11">
        <f t="shared" si="2"/>
        <v>2.2105999999999999</v>
      </c>
      <c r="J33" s="11">
        <f t="shared" si="3"/>
        <v>2.0125999999999999</v>
      </c>
      <c r="K33" s="11">
        <f t="shared" si="4"/>
        <v>1.8076999999999999</v>
      </c>
      <c r="L33" s="11">
        <f t="shared" si="5"/>
        <v>1.5682999999999998</v>
      </c>
      <c r="M33" s="11">
        <f t="shared" si="8"/>
        <v>2.75</v>
      </c>
      <c r="N33" s="11">
        <f t="shared" si="9"/>
        <v>2.75</v>
      </c>
      <c r="O33" s="11">
        <f t="shared" si="10"/>
        <v>2.75</v>
      </c>
      <c r="P33" s="11">
        <f t="shared" si="11"/>
        <v>2.75</v>
      </c>
      <c r="Q33" s="11">
        <f t="shared" si="12"/>
        <v>2.75</v>
      </c>
      <c r="R33" s="11">
        <f t="shared" si="6"/>
        <v>2.6219000000000001</v>
      </c>
      <c r="S33" s="11">
        <f t="shared" si="7"/>
        <v>2.5082</v>
      </c>
      <c r="T33" s="8" t="s">
        <v>85</v>
      </c>
      <c r="U33" s="27"/>
    </row>
    <row r="34" spans="1:21" x14ac:dyDescent="0.25">
      <c r="A34" s="8">
        <v>31</v>
      </c>
      <c r="B34" s="8">
        <v>20.368300000000001</v>
      </c>
      <c r="C34" s="8">
        <v>84.557900000000004</v>
      </c>
      <c r="D34" s="3" t="s">
        <v>7</v>
      </c>
      <c r="E34" s="3">
        <v>3</v>
      </c>
      <c r="F34" s="8">
        <f t="shared" si="0"/>
        <v>2.75</v>
      </c>
      <c r="G34" s="3">
        <v>1233.8979999999999</v>
      </c>
      <c r="H34" s="11">
        <f t="shared" si="1"/>
        <v>2.3809999999999998</v>
      </c>
      <c r="I34" s="11">
        <f t="shared" si="2"/>
        <v>2.2105999999999999</v>
      </c>
      <c r="J34" s="11">
        <f t="shared" si="3"/>
        <v>2.0125999999999999</v>
      </c>
      <c r="K34" s="11">
        <f t="shared" si="4"/>
        <v>1.8076999999999999</v>
      </c>
      <c r="L34" s="11">
        <f t="shared" si="5"/>
        <v>1.5682999999999998</v>
      </c>
      <c r="M34" s="11">
        <f t="shared" si="8"/>
        <v>2.75</v>
      </c>
      <c r="N34" s="11">
        <f t="shared" si="9"/>
        <v>2.75</v>
      </c>
      <c r="O34" s="11">
        <f t="shared" si="10"/>
        <v>2.75</v>
      </c>
      <c r="P34" s="11">
        <f t="shared" si="11"/>
        <v>2.75</v>
      </c>
      <c r="Q34" s="11">
        <f t="shared" si="12"/>
        <v>2.75</v>
      </c>
      <c r="R34" s="11">
        <f t="shared" si="6"/>
        <v>2.6219000000000001</v>
      </c>
      <c r="S34" s="11">
        <f t="shared" si="7"/>
        <v>2.5082</v>
      </c>
      <c r="T34" s="8" t="s">
        <v>85</v>
      </c>
      <c r="U34" s="27"/>
    </row>
    <row r="35" spans="1:21" x14ac:dyDescent="0.25">
      <c r="A35" s="8">
        <v>32</v>
      </c>
      <c r="B35" s="8">
        <v>20.348500000000001</v>
      </c>
      <c r="C35" s="8">
        <v>84.538700000000006</v>
      </c>
      <c r="D35" s="3" t="s">
        <v>7</v>
      </c>
      <c r="E35" s="3">
        <v>5</v>
      </c>
      <c r="F35" s="8">
        <f t="shared" ref="F35:F66" si="17">E35-$Z$21</f>
        <v>4.75</v>
      </c>
      <c r="G35" s="3">
        <v>29618.616000000002</v>
      </c>
      <c r="H35" s="11">
        <f t="shared" ref="H35:H67" si="18">IF(S35-$AC$3&lt;0, 0, S35-$AC$3)</f>
        <v>4.3810000000000002</v>
      </c>
      <c r="I35" s="11">
        <f t="shared" ref="I35:I66" si="19">IF(H35-$AC$4&lt;0, 0, H35-$AC$4)</f>
        <v>4.2106000000000003</v>
      </c>
      <c r="J35" s="11">
        <f t="shared" ref="J35:J66" si="20">IF(I35-$AC$5&lt;0, 0, I35-$AC$5)</f>
        <v>4.0125999999999999</v>
      </c>
      <c r="K35" s="11">
        <f t="shared" ref="K35:K66" si="21">IF(J35-$AC$6&lt;0, 0, J35-$AC$6)</f>
        <v>3.8077000000000001</v>
      </c>
      <c r="L35" s="11">
        <f t="shared" ref="L35:L66" si="22">IF(K35-$AC$7&lt;0, 0, K35-$AC$7)</f>
        <v>3.5683000000000002</v>
      </c>
      <c r="M35" s="11">
        <f t="shared" si="8"/>
        <v>4.75</v>
      </c>
      <c r="N35" s="11">
        <f t="shared" si="9"/>
        <v>4.75</v>
      </c>
      <c r="O35" s="11">
        <f t="shared" si="10"/>
        <v>4.75</v>
      </c>
      <c r="P35" s="11">
        <f t="shared" si="11"/>
        <v>4.75</v>
      </c>
      <c r="Q35" s="11">
        <f t="shared" si="12"/>
        <v>4.75</v>
      </c>
      <c r="R35" s="11">
        <f t="shared" ref="R35:R66" si="23">IF(Q35-$AC$13&lt;0, 0, Q35-$AC$13)</f>
        <v>4.6219000000000001</v>
      </c>
      <c r="S35" s="11">
        <f t="shared" ref="S35:S66" si="24">IF(R35-$AC$14&lt;0, 0, R35-$AC$14)</f>
        <v>4.5082000000000004</v>
      </c>
      <c r="T35" s="8" t="s">
        <v>88</v>
      </c>
      <c r="U35" s="27"/>
    </row>
    <row r="36" spans="1:21" x14ac:dyDescent="0.25">
      <c r="A36" s="8">
        <v>33</v>
      </c>
      <c r="B36" s="8">
        <v>20.331299999999999</v>
      </c>
      <c r="C36" s="8">
        <v>84.547700000000006</v>
      </c>
      <c r="D36" s="3" t="s">
        <v>7</v>
      </c>
      <c r="E36" s="3">
        <v>3</v>
      </c>
      <c r="F36" s="8">
        <f t="shared" si="17"/>
        <v>2.75</v>
      </c>
      <c r="G36" s="3">
        <v>2920.547</v>
      </c>
      <c r="H36" s="11">
        <f t="shared" si="18"/>
        <v>2.3809999999999998</v>
      </c>
      <c r="I36" s="11">
        <f t="shared" si="19"/>
        <v>2.2105999999999999</v>
      </c>
      <c r="J36" s="11">
        <f t="shared" si="20"/>
        <v>2.0125999999999999</v>
      </c>
      <c r="K36" s="11">
        <f t="shared" si="21"/>
        <v>1.8076999999999999</v>
      </c>
      <c r="L36" s="11">
        <f t="shared" si="22"/>
        <v>1.5682999999999998</v>
      </c>
      <c r="M36" s="11">
        <f t="shared" si="8"/>
        <v>2.75</v>
      </c>
      <c r="N36" s="11">
        <f t="shared" si="9"/>
        <v>2.75</v>
      </c>
      <c r="O36" s="11">
        <f t="shared" si="10"/>
        <v>2.75</v>
      </c>
      <c r="P36" s="11">
        <f t="shared" si="11"/>
        <v>2.75</v>
      </c>
      <c r="Q36" s="11">
        <f t="shared" si="12"/>
        <v>2.75</v>
      </c>
      <c r="R36" s="11">
        <f t="shared" si="23"/>
        <v>2.6219000000000001</v>
      </c>
      <c r="S36" s="11">
        <f t="shared" si="24"/>
        <v>2.5082</v>
      </c>
      <c r="T36" s="8" t="s">
        <v>90</v>
      </c>
      <c r="U36" s="27"/>
    </row>
    <row r="37" spans="1:21" x14ac:dyDescent="0.25">
      <c r="A37" s="8">
        <v>34</v>
      </c>
      <c r="B37" s="8">
        <v>20.339600000000001</v>
      </c>
      <c r="C37" s="8">
        <v>84.558300000000003</v>
      </c>
      <c r="D37" s="3" t="s">
        <v>7</v>
      </c>
      <c r="E37" s="3">
        <v>3</v>
      </c>
      <c r="F37" s="8">
        <f t="shared" si="17"/>
        <v>2.75</v>
      </c>
      <c r="G37" s="3">
        <v>3061.6</v>
      </c>
      <c r="H37" s="11">
        <f t="shared" si="18"/>
        <v>2.3809999999999998</v>
      </c>
      <c r="I37" s="11">
        <f t="shared" si="19"/>
        <v>2.2105999999999999</v>
      </c>
      <c r="J37" s="11">
        <f t="shared" si="20"/>
        <v>2.0125999999999999</v>
      </c>
      <c r="K37" s="11">
        <f t="shared" si="21"/>
        <v>1.8076999999999999</v>
      </c>
      <c r="L37" s="11">
        <f t="shared" si="22"/>
        <v>1.5682999999999998</v>
      </c>
      <c r="M37" s="11">
        <f t="shared" si="8"/>
        <v>2.75</v>
      </c>
      <c r="N37" s="11">
        <f t="shared" si="9"/>
        <v>2.75</v>
      </c>
      <c r="O37" s="11">
        <f t="shared" si="10"/>
        <v>2.75</v>
      </c>
      <c r="P37" s="11">
        <f t="shared" si="11"/>
        <v>2.75</v>
      </c>
      <c r="Q37" s="11">
        <f t="shared" si="12"/>
        <v>2.75</v>
      </c>
      <c r="R37" s="11">
        <f t="shared" si="23"/>
        <v>2.6219000000000001</v>
      </c>
      <c r="S37" s="11">
        <f t="shared" si="24"/>
        <v>2.5082</v>
      </c>
      <c r="T37" s="8" t="s">
        <v>90</v>
      </c>
      <c r="U37" s="27"/>
    </row>
    <row r="38" spans="1:21" x14ac:dyDescent="0.25">
      <c r="A38" s="8">
        <v>35</v>
      </c>
      <c r="B38" s="8">
        <v>20.347899999999999</v>
      </c>
      <c r="C38" s="8">
        <v>84.563500000000005</v>
      </c>
      <c r="D38" s="3" t="s">
        <v>7</v>
      </c>
      <c r="E38" s="3">
        <v>2</v>
      </c>
      <c r="F38" s="8">
        <f t="shared" si="17"/>
        <v>1.75</v>
      </c>
      <c r="G38" s="3">
        <v>1085.249</v>
      </c>
      <c r="H38" s="11">
        <f t="shared" si="18"/>
        <v>1.3810000000000002</v>
      </c>
      <c r="I38" s="11">
        <f t="shared" si="19"/>
        <v>1.2106000000000003</v>
      </c>
      <c r="J38" s="11">
        <f t="shared" si="20"/>
        <v>1.0126000000000004</v>
      </c>
      <c r="K38" s="11">
        <f t="shared" si="21"/>
        <v>0.80770000000000042</v>
      </c>
      <c r="L38" s="11">
        <f t="shared" si="22"/>
        <v>0.56830000000000047</v>
      </c>
      <c r="M38" s="11">
        <f t="shared" si="8"/>
        <v>1.75</v>
      </c>
      <c r="N38" s="11">
        <f t="shared" si="9"/>
        <v>1.75</v>
      </c>
      <c r="O38" s="11">
        <f t="shared" si="10"/>
        <v>1.75</v>
      </c>
      <c r="P38" s="11">
        <f t="shared" si="11"/>
        <v>1.75</v>
      </c>
      <c r="Q38" s="11">
        <f t="shared" si="12"/>
        <v>1.75</v>
      </c>
      <c r="R38" s="11">
        <f t="shared" si="23"/>
        <v>1.6219000000000001</v>
      </c>
      <c r="S38" s="11">
        <f t="shared" si="24"/>
        <v>1.5082000000000002</v>
      </c>
      <c r="T38" s="8" t="s">
        <v>90</v>
      </c>
      <c r="U38" s="27"/>
    </row>
    <row r="39" spans="1:21" x14ac:dyDescent="0.25">
      <c r="A39" s="8">
        <v>36</v>
      </c>
      <c r="B39" s="8">
        <v>20.349499999999999</v>
      </c>
      <c r="C39" s="8">
        <v>84.566999999999993</v>
      </c>
      <c r="D39" s="3" t="s">
        <v>7</v>
      </c>
      <c r="E39" s="3">
        <v>3</v>
      </c>
      <c r="F39" s="8">
        <f t="shared" si="17"/>
        <v>2.75</v>
      </c>
      <c r="G39" s="3">
        <v>1760.3209999999999</v>
      </c>
      <c r="H39" s="11">
        <f t="shared" si="18"/>
        <v>2.3809999999999998</v>
      </c>
      <c r="I39" s="11">
        <f t="shared" si="19"/>
        <v>2.2105999999999999</v>
      </c>
      <c r="J39" s="11">
        <f t="shared" si="20"/>
        <v>2.0125999999999999</v>
      </c>
      <c r="K39" s="11">
        <f t="shared" si="21"/>
        <v>1.8076999999999999</v>
      </c>
      <c r="L39" s="11">
        <f t="shared" si="22"/>
        <v>1.5682999999999998</v>
      </c>
      <c r="M39" s="11">
        <f t="shared" si="8"/>
        <v>2.75</v>
      </c>
      <c r="N39" s="11">
        <f t="shared" si="9"/>
        <v>2.75</v>
      </c>
      <c r="O39" s="11">
        <f t="shared" si="10"/>
        <v>2.75</v>
      </c>
      <c r="P39" s="11">
        <f t="shared" si="11"/>
        <v>2.75</v>
      </c>
      <c r="Q39" s="11">
        <f t="shared" si="12"/>
        <v>2.75</v>
      </c>
      <c r="R39" s="11">
        <f t="shared" si="23"/>
        <v>2.6219000000000001</v>
      </c>
      <c r="S39" s="11">
        <f t="shared" si="24"/>
        <v>2.5082</v>
      </c>
      <c r="T39" s="8" t="s">
        <v>90</v>
      </c>
      <c r="U39" s="27"/>
    </row>
    <row r="40" spans="1:21" x14ac:dyDescent="0.25">
      <c r="A40" s="8">
        <v>37</v>
      </c>
      <c r="B40" s="8">
        <v>20.346699999999998</v>
      </c>
      <c r="C40" s="8">
        <v>84.562700000000007</v>
      </c>
      <c r="D40" s="3" t="s">
        <v>7</v>
      </c>
      <c r="E40" s="3">
        <v>3</v>
      </c>
      <c r="F40" s="8">
        <f t="shared" si="17"/>
        <v>2.75</v>
      </c>
      <c r="G40" s="3">
        <v>2874.931</v>
      </c>
      <c r="H40" s="11">
        <f t="shared" si="18"/>
        <v>2.3809999999999998</v>
      </c>
      <c r="I40" s="11">
        <f t="shared" si="19"/>
        <v>2.2105999999999999</v>
      </c>
      <c r="J40" s="11">
        <f t="shared" si="20"/>
        <v>2.0125999999999999</v>
      </c>
      <c r="K40" s="11">
        <f t="shared" si="21"/>
        <v>1.8076999999999999</v>
      </c>
      <c r="L40" s="11">
        <f t="shared" si="22"/>
        <v>1.5682999999999998</v>
      </c>
      <c r="M40" s="11">
        <f t="shared" si="8"/>
        <v>2.75</v>
      </c>
      <c r="N40" s="11">
        <f t="shared" si="9"/>
        <v>2.75</v>
      </c>
      <c r="O40" s="11">
        <f t="shared" si="10"/>
        <v>2.75</v>
      </c>
      <c r="P40" s="11">
        <f t="shared" si="11"/>
        <v>2.75</v>
      </c>
      <c r="Q40" s="11">
        <f t="shared" si="12"/>
        <v>2.75</v>
      </c>
      <c r="R40" s="11">
        <f t="shared" si="23"/>
        <v>2.6219000000000001</v>
      </c>
      <c r="S40" s="11">
        <f t="shared" si="24"/>
        <v>2.5082</v>
      </c>
      <c r="T40" s="8" t="s">
        <v>90</v>
      </c>
      <c r="U40" s="27"/>
    </row>
    <row r="41" spans="1:21" x14ac:dyDescent="0.25">
      <c r="A41" s="8">
        <v>38</v>
      </c>
      <c r="B41" s="8">
        <v>20.349</v>
      </c>
      <c r="C41" s="8">
        <v>84.586500000000001</v>
      </c>
      <c r="D41" s="3" t="s">
        <v>7</v>
      </c>
      <c r="E41" s="3">
        <v>3</v>
      </c>
      <c r="F41" s="8">
        <f t="shared" si="17"/>
        <v>2.75</v>
      </c>
      <c r="G41" s="3">
        <v>2010.26</v>
      </c>
      <c r="H41" s="11">
        <f t="shared" si="18"/>
        <v>2.3809999999999998</v>
      </c>
      <c r="I41" s="11">
        <f t="shared" si="19"/>
        <v>2.2105999999999999</v>
      </c>
      <c r="J41" s="11">
        <f t="shared" si="20"/>
        <v>2.0125999999999999</v>
      </c>
      <c r="K41" s="11">
        <f t="shared" si="21"/>
        <v>1.8076999999999999</v>
      </c>
      <c r="L41" s="11">
        <f t="shared" si="22"/>
        <v>1.5682999999999998</v>
      </c>
      <c r="M41" s="11">
        <f t="shared" si="8"/>
        <v>2.75</v>
      </c>
      <c r="N41" s="11">
        <f t="shared" si="9"/>
        <v>2.75</v>
      </c>
      <c r="O41" s="11">
        <f t="shared" si="10"/>
        <v>2.75</v>
      </c>
      <c r="P41" s="11">
        <f t="shared" si="11"/>
        <v>2.75</v>
      </c>
      <c r="Q41" s="11">
        <f t="shared" si="12"/>
        <v>2.75</v>
      </c>
      <c r="R41" s="11">
        <f t="shared" si="23"/>
        <v>2.6219000000000001</v>
      </c>
      <c r="S41" s="11">
        <f t="shared" si="24"/>
        <v>2.5082</v>
      </c>
      <c r="T41" s="8" t="s">
        <v>87</v>
      </c>
      <c r="U41" s="27"/>
    </row>
    <row r="42" spans="1:21" x14ac:dyDescent="0.25">
      <c r="A42" s="8">
        <v>39</v>
      </c>
      <c r="B42" s="8">
        <v>20.351500000000001</v>
      </c>
      <c r="C42" s="8">
        <v>84.588999999999999</v>
      </c>
      <c r="D42" s="3" t="s">
        <v>7</v>
      </c>
      <c r="E42" s="3">
        <v>3</v>
      </c>
      <c r="F42" s="8">
        <f t="shared" si="17"/>
        <v>2.75</v>
      </c>
      <c r="G42" s="3">
        <v>477.72300000000001</v>
      </c>
      <c r="H42" s="11">
        <f t="shared" si="18"/>
        <v>2.3809999999999998</v>
      </c>
      <c r="I42" s="11">
        <f t="shared" si="19"/>
        <v>2.2105999999999999</v>
      </c>
      <c r="J42" s="11">
        <f t="shared" si="20"/>
        <v>2.0125999999999999</v>
      </c>
      <c r="K42" s="11">
        <f t="shared" si="21"/>
        <v>1.8076999999999999</v>
      </c>
      <c r="L42" s="11">
        <f t="shared" si="22"/>
        <v>1.5682999999999998</v>
      </c>
      <c r="M42" s="11">
        <f t="shared" si="8"/>
        <v>2.75</v>
      </c>
      <c r="N42" s="11">
        <f t="shared" si="9"/>
        <v>2.75</v>
      </c>
      <c r="O42" s="11">
        <f t="shared" si="10"/>
        <v>2.75</v>
      </c>
      <c r="P42" s="11">
        <f t="shared" si="11"/>
        <v>2.75</v>
      </c>
      <c r="Q42" s="11">
        <f t="shared" si="12"/>
        <v>2.75</v>
      </c>
      <c r="R42" s="11">
        <f t="shared" si="23"/>
        <v>2.6219000000000001</v>
      </c>
      <c r="S42" s="11">
        <f t="shared" si="24"/>
        <v>2.5082</v>
      </c>
      <c r="T42" s="8" t="s">
        <v>87</v>
      </c>
      <c r="U42" s="27"/>
    </row>
    <row r="43" spans="1:21" x14ac:dyDescent="0.25">
      <c r="A43" s="8">
        <v>40</v>
      </c>
      <c r="B43" s="8">
        <v>20.351700000000001</v>
      </c>
      <c r="C43" s="8">
        <v>84.587599999999995</v>
      </c>
      <c r="D43" s="3" t="s">
        <v>7</v>
      </c>
      <c r="E43" s="3">
        <v>3</v>
      </c>
      <c r="F43" s="8">
        <f t="shared" si="17"/>
        <v>2.75</v>
      </c>
      <c r="G43" s="3">
        <v>595.64</v>
      </c>
      <c r="H43" s="11">
        <f t="shared" si="18"/>
        <v>2.3809999999999998</v>
      </c>
      <c r="I43" s="11">
        <f t="shared" si="19"/>
        <v>2.2105999999999999</v>
      </c>
      <c r="J43" s="11">
        <f t="shared" si="20"/>
        <v>2.0125999999999999</v>
      </c>
      <c r="K43" s="11">
        <f t="shared" si="21"/>
        <v>1.8076999999999999</v>
      </c>
      <c r="L43" s="11">
        <f t="shared" si="22"/>
        <v>1.5682999999999998</v>
      </c>
      <c r="M43" s="11">
        <f t="shared" si="8"/>
        <v>2.75</v>
      </c>
      <c r="N43" s="11">
        <f t="shared" si="9"/>
        <v>2.75</v>
      </c>
      <c r="O43" s="11">
        <f t="shared" si="10"/>
        <v>2.75</v>
      </c>
      <c r="P43" s="11">
        <f t="shared" si="11"/>
        <v>2.75</v>
      </c>
      <c r="Q43" s="11">
        <f t="shared" si="12"/>
        <v>2.75</v>
      </c>
      <c r="R43" s="11">
        <f t="shared" si="23"/>
        <v>2.6219000000000001</v>
      </c>
      <c r="S43" s="11">
        <f t="shared" si="24"/>
        <v>2.5082</v>
      </c>
      <c r="T43" s="8" t="s">
        <v>87</v>
      </c>
      <c r="U43" s="27"/>
    </row>
    <row r="44" spans="1:21" x14ac:dyDescent="0.25">
      <c r="A44" s="8">
        <v>41</v>
      </c>
      <c r="B44" s="8">
        <v>20.340900000000001</v>
      </c>
      <c r="C44" s="8">
        <v>84.581900000000005</v>
      </c>
      <c r="D44" s="3" t="s">
        <v>7</v>
      </c>
      <c r="E44" s="3">
        <v>3</v>
      </c>
      <c r="F44" s="8">
        <f t="shared" si="17"/>
        <v>2.75</v>
      </c>
      <c r="G44" s="3">
        <v>749.10799999999995</v>
      </c>
      <c r="H44" s="11">
        <f t="shared" si="18"/>
        <v>2.3809999999999998</v>
      </c>
      <c r="I44" s="11">
        <f t="shared" si="19"/>
        <v>2.2105999999999999</v>
      </c>
      <c r="J44" s="11">
        <f t="shared" si="20"/>
        <v>2.0125999999999999</v>
      </c>
      <c r="K44" s="11">
        <f t="shared" si="21"/>
        <v>1.8076999999999999</v>
      </c>
      <c r="L44" s="11">
        <f t="shared" si="22"/>
        <v>1.5682999999999998</v>
      </c>
      <c r="M44" s="11">
        <f t="shared" si="8"/>
        <v>2.75</v>
      </c>
      <c r="N44" s="11">
        <f t="shared" si="9"/>
        <v>2.75</v>
      </c>
      <c r="O44" s="11">
        <f t="shared" si="10"/>
        <v>2.75</v>
      </c>
      <c r="P44" s="11">
        <f t="shared" si="11"/>
        <v>2.75</v>
      </c>
      <c r="Q44" s="11">
        <f t="shared" si="12"/>
        <v>2.75</v>
      </c>
      <c r="R44" s="11">
        <f t="shared" si="23"/>
        <v>2.6219000000000001</v>
      </c>
      <c r="S44" s="11">
        <f t="shared" si="24"/>
        <v>2.5082</v>
      </c>
      <c r="T44" s="8" t="s">
        <v>87</v>
      </c>
      <c r="U44" s="27"/>
    </row>
    <row r="45" spans="1:21" x14ac:dyDescent="0.25">
      <c r="A45" s="8">
        <v>42</v>
      </c>
      <c r="B45" s="8">
        <v>20.335999999999999</v>
      </c>
      <c r="C45" s="8">
        <v>84.603200000000001</v>
      </c>
      <c r="D45" s="3" t="s">
        <v>7</v>
      </c>
      <c r="E45" s="3">
        <v>3</v>
      </c>
      <c r="F45" s="8">
        <f t="shared" si="17"/>
        <v>2.75</v>
      </c>
      <c r="G45" s="3">
        <v>1380.2280000000001</v>
      </c>
      <c r="H45" s="11">
        <f t="shared" si="18"/>
        <v>2.3809999999999998</v>
      </c>
      <c r="I45" s="11">
        <f t="shared" si="19"/>
        <v>2.2105999999999999</v>
      </c>
      <c r="J45" s="11">
        <f t="shared" si="20"/>
        <v>2.0125999999999999</v>
      </c>
      <c r="K45" s="11">
        <f t="shared" si="21"/>
        <v>1.8076999999999999</v>
      </c>
      <c r="L45" s="11">
        <f t="shared" si="22"/>
        <v>1.5682999999999998</v>
      </c>
      <c r="M45" s="11">
        <f t="shared" si="8"/>
        <v>2.75</v>
      </c>
      <c r="N45" s="11">
        <f t="shared" si="9"/>
        <v>2.75</v>
      </c>
      <c r="O45" s="11">
        <f t="shared" si="10"/>
        <v>2.75</v>
      </c>
      <c r="P45" s="11">
        <f t="shared" si="11"/>
        <v>2.75</v>
      </c>
      <c r="Q45" s="11">
        <f t="shared" si="12"/>
        <v>2.75</v>
      </c>
      <c r="R45" s="11">
        <f t="shared" si="23"/>
        <v>2.6219000000000001</v>
      </c>
      <c r="S45" s="11">
        <f t="shared" si="24"/>
        <v>2.5082</v>
      </c>
      <c r="T45" s="8" t="s">
        <v>86</v>
      </c>
      <c r="U45" s="27"/>
    </row>
    <row r="46" spans="1:21" x14ac:dyDescent="0.25">
      <c r="A46" s="8">
        <v>43</v>
      </c>
      <c r="B46" s="8">
        <v>20.336200000000002</v>
      </c>
      <c r="C46" s="8">
        <v>84.599699999999999</v>
      </c>
      <c r="D46" s="3" t="s">
        <v>7</v>
      </c>
      <c r="E46" s="3">
        <v>2</v>
      </c>
      <c r="F46" s="8">
        <f t="shared" si="17"/>
        <v>1.75</v>
      </c>
      <c r="G46" s="3">
        <v>456.81599999999997</v>
      </c>
      <c r="H46" s="11">
        <f t="shared" si="18"/>
        <v>1.3810000000000002</v>
      </c>
      <c r="I46" s="11">
        <f t="shared" si="19"/>
        <v>1.2106000000000003</v>
      </c>
      <c r="J46" s="11">
        <f t="shared" si="20"/>
        <v>1.0126000000000004</v>
      </c>
      <c r="K46" s="11">
        <f t="shared" si="21"/>
        <v>0.80770000000000042</v>
      </c>
      <c r="L46" s="11">
        <f t="shared" si="22"/>
        <v>0.56830000000000047</v>
      </c>
      <c r="M46" s="11">
        <f t="shared" si="8"/>
        <v>1.75</v>
      </c>
      <c r="N46" s="11">
        <f t="shared" si="9"/>
        <v>1.75</v>
      </c>
      <c r="O46" s="11">
        <f t="shared" si="10"/>
        <v>1.75</v>
      </c>
      <c r="P46" s="11">
        <f t="shared" si="11"/>
        <v>1.75</v>
      </c>
      <c r="Q46" s="11">
        <f t="shared" si="12"/>
        <v>1.75</v>
      </c>
      <c r="R46" s="11">
        <f t="shared" si="23"/>
        <v>1.6219000000000001</v>
      </c>
      <c r="S46" s="11">
        <f t="shared" si="24"/>
        <v>1.5082000000000002</v>
      </c>
      <c r="T46" s="8" t="s">
        <v>86</v>
      </c>
      <c r="U46" s="27"/>
    </row>
    <row r="47" spans="1:21" x14ac:dyDescent="0.25">
      <c r="A47" s="8">
        <v>44</v>
      </c>
      <c r="B47" s="8">
        <v>20.335100000000001</v>
      </c>
      <c r="C47" s="8">
        <v>84.596800000000002</v>
      </c>
      <c r="D47" s="3" t="s">
        <v>7</v>
      </c>
      <c r="E47" s="3">
        <v>3</v>
      </c>
      <c r="F47" s="8">
        <f t="shared" si="17"/>
        <v>2.75</v>
      </c>
      <c r="G47" s="3">
        <v>2560.38</v>
      </c>
      <c r="H47" s="11">
        <f t="shared" si="18"/>
        <v>2.3809999999999998</v>
      </c>
      <c r="I47" s="11">
        <f t="shared" si="19"/>
        <v>2.2105999999999999</v>
      </c>
      <c r="J47" s="11">
        <f t="shared" si="20"/>
        <v>2.0125999999999999</v>
      </c>
      <c r="K47" s="11">
        <f t="shared" si="21"/>
        <v>1.8076999999999999</v>
      </c>
      <c r="L47" s="11">
        <f t="shared" si="22"/>
        <v>1.5682999999999998</v>
      </c>
      <c r="M47" s="11">
        <f t="shared" si="8"/>
        <v>2.75</v>
      </c>
      <c r="N47" s="11">
        <f t="shared" si="9"/>
        <v>2.75</v>
      </c>
      <c r="O47" s="11">
        <f t="shared" si="10"/>
        <v>2.75</v>
      </c>
      <c r="P47" s="11">
        <f t="shared" si="11"/>
        <v>2.75</v>
      </c>
      <c r="Q47" s="11">
        <f t="shared" si="12"/>
        <v>2.75</v>
      </c>
      <c r="R47" s="11">
        <f t="shared" si="23"/>
        <v>2.6219000000000001</v>
      </c>
      <c r="S47" s="11">
        <f t="shared" si="24"/>
        <v>2.5082</v>
      </c>
      <c r="T47" s="8" t="s">
        <v>86</v>
      </c>
      <c r="U47" s="27"/>
    </row>
    <row r="48" spans="1:21" x14ac:dyDescent="0.25">
      <c r="A48" s="8">
        <v>45</v>
      </c>
      <c r="B48" s="8">
        <v>20.3324</v>
      </c>
      <c r="C48" s="8">
        <v>84.596000000000004</v>
      </c>
      <c r="D48" s="3" t="s">
        <v>7</v>
      </c>
      <c r="E48" s="3">
        <v>2</v>
      </c>
      <c r="F48" s="8">
        <f t="shared" si="17"/>
        <v>1.75</v>
      </c>
      <c r="G48" s="3">
        <v>682.15</v>
      </c>
      <c r="H48" s="11">
        <f t="shared" si="18"/>
        <v>1.3810000000000002</v>
      </c>
      <c r="I48" s="11">
        <f t="shared" si="19"/>
        <v>1.2106000000000003</v>
      </c>
      <c r="J48" s="11">
        <f t="shared" si="20"/>
        <v>1.0126000000000004</v>
      </c>
      <c r="K48" s="11">
        <f t="shared" si="21"/>
        <v>0.80770000000000042</v>
      </c>
      <c r="L48" s="11">
        <f t="shared" si="22"/>
        <v>0.56830000000000047</v>
      </c>
      <c r="M48" s="11">
        <f t="shared" si="8"/>
        <v>1.75</v>
      </c>
      <c r="N48" s="11">
        <f t="shared" si="9"/>
        <v>1.75</v>
      </c>
      <c r="O48" s="11">
        <f t="shared" si="10"/>
        <v>1.75</v>
      </c>
      <c r="P48" s="11">
        <f t="shared" si="11"/>
        <v>1.75</v>
      </c>
      <c r="Q48" s="11">
        <f t="shared" si="12"/>
        <v>1.75</v>
      </c>
      <c r="R48" s="11">
        <f t="shared" si="23"/>
        <v>1.6219000000000001</v>
      </c>
      <c r="S48" s="11">
        <f t="shared" si="24"/>
        <v>1.5082000000000002</v>
      </c>
      <c r="T48" s="8" t="s">
        <v>86</v>
      </c>
      <c r="U48" s="27"/>
    </row>
    <row r="49" spans="1:21" x14ac:dyDescent="0.25">
      <c r="A49" s="8">
        <v>46</v>
      </c>
      <c r="B49" s="8">
        <v>20.3293</v>
      </c>
      <c r="C49" s="8">
        <v>84.596400000000003</v>
      </c>
      <c r="D49" s="3" t="s">
        <v>7</v>
      </c>
      <c r="E49" s="3">
        <v>3</v>
      </c>
      <c r="F49" s="8">
        <f t="shared" si="17"/>
        <v>2.75</v>
      </c>
      <c r="G49" s="3">
        <v>2755.7890000000002</v>
      </c>
      <c r="H49" s="11">
        <f t="shared" si="18"/>
        <v>2.3809999999999998</v>
      </c>
      <c r="I49" s="11">
        <f t="shared" si="19"/>
        <v>2.2105999999999999</v>
      </c>
      <c r="J49" s="11">
        <f t="shared" si="20"/>
        <v>2.0125999999999999</v>
      </c>
      <c r="K49" s="11">
        <f t="shared" si="21"/>
        <v>1.8076999999999999</v>
      </c>
      <c r="L49" s="11">
        <f t="shared" si="22"/>
        <v>1.5682999999999998</v>
      </c>
      <c r="M49" s="11">
        <f t="shared" si="8"/>
        <v>2.75</v>
      </c>
      <c r="N49" s="11">
        <f t="shared" si="9"/>
        <v>2.75</v>
      </c>
      <c r="O49" s="11">
        <f t="shared" si="10"/>
        <v>2.75</v>
      </c>
      <c r="P49" s="11">
        <f t="shared" si="11"/>
        <v>2.75</v>
      </c>
      <c r="Q49" s="11">
        <f t="shared" si="12"/>
        <v>2.75</v>
      </c>
      <c r="R49" s="11">
        <f t="shared" si="23"/>
        <v>2.6219000000000001</v>
      </c>
      <c r="S49" s="11">
        <f t="shared" si="24"/>
        <v>2.5082</v>
      </c>
      <c r="T49" s="8" t="s">
        <v>86</v>
      </c>
      <c r="U49" s="27"/>
    </row>
    <row r="50" spans="1:21" x14ac:dyDescent="0.25">
      <c r="A50" s="8">
        <v>47</v>
      </c>
      <c r="B50" s="8">
        <v>20.321200000000001</v>
      </c>
      <c r="C50" s="8">
        <v>84.604699999999994</v>
      </c>
      <c r="D50" s="3" t="s">
        <v>7</v>
      </c>
      <c r="E50" s="3">
        <v>3</v>
      </c>
      <c r="F50" s="8">
        <f t="shared" si="17"/>
        <v>2.75</v>
      </c>
      <c r="G50" s="3">
        <v>2369.7249999999999</v>
      </c>
      <c r="H50" s="11">
        <f t="shared" si="18"/>
        <v>2.3809999999999998</v>
      </c>
      <c r="I50" s="11">
        <f t="shared" si="19"/>
        <v>2.2105999999999999</v>
      </c>
      <c r="J50" s="11">
        <f t="shared" si="20"/>
        <v>2.0125999999999999</v>
      </c>
      <c r="K50" s="11">
        <f t="shared" si="21"/>
        <v>1.8076999999999999</v>
      </c>
      <c r="L50" s="11">
        <f t="shared" si="22"/>
        <v>1.5682999999999998</v>
      </c>
      <c r="M50" s="11">
        <f t="shared" si="8"/>
        <v>2.75</v>
      </c>
      <c r="N50" s="11">
        <f t="shared" si="9"/>
        <v>2.75</v>
      </c>
      <c r="O50" s="11">
        <f t="shared" si="10"/>
        <v>2.75</v>
      </c>
      <c r="P50" s="11">
        <f t="shared" si="11"/>
        <v>2.75</v>
      </c>
      <c r="Q50" s="11">
        <f t="shared" si="12"/>
        <v>2.75</v>
      </c>
      <c r="R50" s="11">
        <f t="shared" si="23"/>
        <v>2.6219000000000001</v>
      </c>
      <c r="S50" s="11">
        <f t="shared" si="24"/>
        <v>2.5082</v>
      </c>
      <c r="T50" s="8" t="s">
        <v>81</v>
      </c>
      <c r="U50" s="27"/>
    </row>
    <row r="51" spans="1:21" x14ac:dyDescent="0.25">
      <c r="A51" s="8">
        <v>48</v>
      </c>
      <c r="B51" s="8">
        <v>20.319500000000001</v>
      </c>
      <c r="C51" s="8">
        <v>84.605699999999999</v>
      </c>
      <c r="D51" s="3" t="s">
        <v>7</v>
      </c>
      <c r="E51" s="3">
        <v>3</v>
      </c>
      <c r="F51" s="8">
        <f t="shared" si="17"/>
        <v>2.75</v>
      </c>
      <c r="G51" s="3">
        <v>6669.1509999999998</v>
      </c>
      <c r="H51" s="11">
        <f t="shared" si="18"/>
        <v>2.3809999999999998</v>
      </c>
      <c r="I51" s="11">
        <f t="shared" si="19"/>
        <v>2.2105999999999999</v>
      </c>
      <c r="J51" s="11">
        <f t="shared" si="20"/>
        <v>2.0125999999999999</v>
      </c>
      <c r="K51" s="11">
        <f t="shared" si="21"/>
        <v>1.8076999999999999</v>
      </c>
      <c r="L51" s="11">
        <f t="shared" si="22"/>
        <v>1.5682999999999998</v>
      </c>
      <c r="M51" s="11">
        <f t="shared" si="8"/>
        <v>2.75</v>
      </c>
      <c r="N51" s="11">
        <f t="shared" si="9"/>
        <v>2.75</v>
      </c>
      <c r="O51" s="11">
        <f t="shared" si="10"/>
        <v>2.75</v>
      </c>
      <c r="P51" s="11">
        <f t="shared" si="11"/>
        <v>2.75</v>
      </c>
      <c r="Q51" s="11">
        <f t="shared" si="12"/>
        <v>2.75</v>
      </c>
      <c r="R51" s="11">
        <f t="shared" si="23"/>
        <v>2.6219000000000001</v>
      </c>
      <c r="S51" s="11">
        <f t="shared" si="24"/>
        <v>2.5082</v>
      </c>
      <c r="T51" s="8" t="s">
        <v>81</v>
      </c>
      <c r="U51" s="27"/>
    </row>
    <row r="52" spans="1:21" x14ac:dyDescent="0.25">
      <c r="A52" s="8">
        <v>49</v>
      </c>
      <c r="B52" s="8">
        <v>20.328600000000002</v>
      </c>
      <c r="C52" s="8">
        <v>84.611800000000002</v>
      </c>
      <c r="D52" s="3" t="s">
        <v>7</v>
      </c>
      <c r="E52" s="3">
        <v>4</v>
      </c>
      <c r="F52" s="8">
        <f t="shared" si="17"/>
        <v>3.75</v>
      </c>
      <c r="G52" s="3">
        <v>7379.8459999999995</v>
      </c>
      <c r="H52" s="11">
        <f t="shared" si="18"/>
        <v>3.3809999999999998</v>
      </c>
      <c r="I52" s="11">
        <f t="shared" si="19"/>
        <v>3.2105999999999999</v>
      </c>
      <c r="J52" s="11">
        <f t="shared" si="20"/>
        <v>3.0125999999999999</v>
      </c>
      <c r="K52" s="11">
        <f t="shared" si="21"/>
        <v>2.8077000000000001</v>
      </c>
      <c r="L52" s="11">
        <f t="shared" si="22"/>
        <v>2.5683000000000002</v>
      </c>
      <c r="M52" s="11">
        <f t="shared" si="8"/>
        <v>3.75</v>
      </c>
      <c r="N52" s="11">
        <f t="shared" si="9"/>
        <v>3.75</v>
      </c>
      <c r="O52" s="11">
        <f t="shared" si="10"/>
        <v>3.75</v>
      </c>
      <c r="P52" s="11">
        <f t="shared" si="11"/>
        <v>3.75</v>
      </c>
      <c r="Q52" s="11">
        <f t="shared" si="12"/>
        <v>3.75</v>
      </c>
      <c r="R52" s="11">
        <f t="shared" si="23"/>
        <v>3.6219000000000001</v>
      </c>
      <c r="S52" s="11">
        <f t="shared" si="24"/>
        <v>3.5082</v>
      </c>
      <c r="T52" s="8" t="s">
        <v>81</v>
      </c>
      <c r="U52" s="27"/>
    </row>
    <row r="53" spans="1:21" x14ac:dyDescent="0.25">
      <c r="A53" s="8">
        <v>50</v>
      </c>
      <c r="B53" s="8">
        <v>20.328399999999998</v>
      </c>
      <c r="C53" s="8">
        <v>84.620500000000007</v>
      </c>
      <c r="D53" s="3" t="s">
        <v>7</v>
      </c>
      <c r="E53" s="3">
        <v>3</v>
      </c>
      <c r="F53" s="8">
        <f t="shared" si="17"/>
        <v>2.75</v>
      </c>
      <c r="G53" s="3">
        <v>2910.7809999999999</v>
      </c>
      <c r="H53" s="11">
        <f t="shared" si="18"/>
        <v>2.3809999999999998</v>
      </c>
      <c r="I53" s="11">
        <f t="shared" si="19"/>
        <v>2.2105999999999999</v>
      </c>
      <c r="J53" s="11">
        <f t="shared" si="20"/>
        <v>2.0125999999999999</v>
      </c>
      <c r="K53" s="11">
        <f t="shared" si="21"/>
        <v>1.8076999999999999</v>
      </c>
      <c r="L53" s="11">
        <f t="shared" si="22"/>
        <v>1.5682999999999998</v>
      </c>
      <c r="M53" s="11">
        <f t="shared" si="8"/>
        <v>2.75</v>
      </c>
      <c r="N53" s="11">
        <f t="shared" si="9"/>
        <v>2.75</v>
      </c>
      <c r="O53" s="11">
        <f t="shared" si="10"/>
        <v>2.75</v>
      </c>
      <c r="P53" s="11">
        <f t="shared" si="11"/>
        <v>2.75</v>
      </c>
      <c r="Q53" s="11">
        <f t="shared" si="12"/>
        <v>2.75</v>
      </c>
      <c r="R53" s="11">
        <f t="shared" si="23"/>
        <v>2.6219000000000001</v>
      </c>
      <c r="S53" s="11">
        <f t="shared" si="24"/>
        <v>2.5082</v>
      </c>
      <c r="T53" s="8" t="s">
        <v>81</v>
      </c>
      <c r="U53" s="27"/>
    </row>
    <row r="54" spans="1:21" x14ac:dyDescent="0.25">
      <c r="A54" s="8">
        <v>51</v>
      </c>
      <c r="B54" s="8">
        <v>20.331299999999999</v>
      </c>
      <c r="C54" s="8">
        <v>84.624399999999994</v>
      </c>
      <c r="D54" s="3" t="s">
        <v>7</v>
      </c>
      <c r="E54" s="3">
        <v>4</v>
      </c>
      <c r="F54" s="8">
        <f t="shared" si="17"/>
        <v>3.75</v>
      </c>
      <c r="G54" s="3">
        <v>2931.7629999999999</v>
      </c>
      <c r="H54" s="11">
        <f t="shared" si="18"/>
        <v>3.3809999999999998</v>
      </c>
      <c r="I54" s="11">
        <f t="shared" si="19"/>
        <v>3.2105999999999999</v>
      </c>
      <c r="J54" s="11">
        <f t="shared" si="20"/>
        <v>3.0125999999999999</v>
      </c>
      <c r="K54" s="11">
        <f t="shared" si="21"/>
        <v>2.8077000000000001</v>
      </c>
      <c r="L54" s="11">
        <f t="shared" si="22"/>
        <v>2.5683000000000002</v>
      </c>
      <c r="M54" s="11">
        <f t="shared" si="8"/>
        <v>3.75</v>
      </c>
      <c r="N54" s="11">
        <f t="shared" si="9"/>
        <v>3.75</v>
      </c>
      <c r="O54" s="11">
        <f t="shared" si="10"/>
        <v>3.75</v>
      </c>
      <c r="P54" s="11">
        <f t="shared" si="11"/>
        <v>3.75</v>
      </c>
      <c r="Q54" s="11">
        <f t="shared" si="12"/>
        <v>3.75</v>
      </c>
      <c r="R54" s="11">
        <f t="shared" si="23"/>
        <v>3.6219000000000001</v>
      </c>
      <c r="S54" s="11">
        <f t="shared" si="24"/>
        <v>3.5082</v>
      </c>
      <c r="T54" s="8" t="s">
        <v>81</v>
      </c>
      <c r="U54" s="27"/>
    </row>
    <row r="55" spans="1:21" x14ac:dyDescent="0.25">
      <c r="A55" s="8">
        <v>52</v>
      </c>
      <c r="B55" s="8">
        <v>20.3324</v>
      </c>
      <c r="C55" s="8">
        <v>84.631200000000007</v>
      </c>
      <c r="D55" s="3" t="s">
        <v>7</v>
      </c>
      <c r="E55" s="3">
        <v>3</v>
      </c>
      <c r="F55" s="8">
        <f t="shared" si="17"/>
        <v>2.75</v>
      </c>
      <c r="G55" s="3">
        <v>1949.9380000000001</v>
      </c>
      <c r="H55" s="11">
        <f t="shared" si="18"/>
        <v>2.3809999999999998</v>
      </c>
      <c r="I55" s="11">
        <f t="shared" si="19"/>
        <v>2.2105999999999999</v>
      </c>
      <c r="J55" s="11">
        <f t="shared" si="20"/>
        <v>2.0125999999999999</v>
      </c>
      <c r="K55" s="11">
        <f t="shared" si="21"/>
        <v>1.8076999999999999</v>
      </c>
      <c r="L55" s="11">
        <f t="shared" si="22"/>
        <v>1.5682999999999998</v>
      </c>
      <c r="M55" s="11">
        <f t="shared" si="8"/>
        <v>2.75</v>
      </c>
      <c r="N55" s="11">
        <f t="shared" si="9"/>
        <v>2.75</v>
      </c>
      <c r="O55" s="11">
        <f t="shared" si="10"/>
        <v>2.75</v>
      </c>
      <c r="P55" s="11">
        <f t="shared" si="11"/>
        <v>2.75</v>
      </c>
      <c r="Q55" s="11">
        <f t="shared" si="12"/>
        <v>2.75</v>
      </c>
      <c r="R55" s="11">
        <f t="shared" si="23"/>
        <v>2.6219000000000001</v>
      </c>
      <c r="S55" s="11">
        <f t="shared" si="24"/>
        <v>2.5082</v>
      </c>
      <c r="T55" s="8" t="s">
        <v>81</v>
      </c>
      <c r="U55" s="27"/>
    </row>
    <row r="56" spans="1:21" x14ac:dyDescent="0.25">
      <c r="A56" s="8">
        <v>53</v>
      </c>
      <c r="B56" s="8">
        <v>20.3294</v>
      </c>
      <c r="C56" s="8">
        <v>84.634399999999999</v>
      </c>
      <c r="D56" s="3" t="s">
        <v>7</v>
      </c>
      <c r="E56" s="3">
        <v>2</v>
      </c>
      <c r="F56" s="8">
        <f t="shared" si="17"/>
        <v>1.75</v>
      </c>
      <c r="G56" s="3">
        <v>1236.847</v>
      </c>
      <c r="H56" s="11">
        <f t="shared" si="18"/>
        <v>1.3810000000000002</v>
      </c>
      <c r="I56" s="11">
        <f t="shared" si="19"/>
        <v>1.2106000000000003</v>
      </c>
      <c r="J56" s="11">
        <f t="shared" si="20"/>
        <v>1.0126000000000004</v>
      </c>
      <c r="K56" s="11">
        <f t="shared" si="21"/>
        <v>0.80770000000000042</v>
      </c>
      <c r="L56" s="11">
        <f t="shared" si="22"/>
        <v>0.56830000000000047</v>
      </c>
      <c r="M56" s="11">
        <f t="shared" si="8"/>
        <v>1.75</v>
      </c>
      <c r="N56" s="11">
        <f t="shared" si="9"/>
        <v>1.75</v>
      </c>
      <c r="O56" s="11">
        <f t="shared" si="10"/>
        <v>1.75</v>
      </c>
      <c r="P56" s="11">
        <f t="shared" si="11"/>
        <v>1.75</v>
      </c>
      <c r="Q56" s="11">
        <f t="shared" si="12"/>
        <v>1.75</v>
      </c>
      <c r="R56" s="11">
        <f t="shared" si="23"/>
        <v>1.6219000000000001</v>
      </c>
      <c r="S56" s="11">
        <f t="shared" si="24"/>
        <v>1.5082000000000002</v>
      </c>
      <c r="T56" s="8" t="s">
        <v>81</v>
      </c>
      <c r="U56" s="27"/>
    </row>
    <row r="57" spans="1:21" x14ac:dyDescent="0.25">
      <c r="A57" s="8">
        <v>54</v>
      </c>
      <c r="B57" s="8">
        <v>20.326699999999999</v>
      </c>
      <c r="C57" s="8">
        <v>84.641099999999994</v>
      </c>
      <c r="D57" s="3" t="s">
        <v>7</v>
      </c>
      <c r="E57" s="3">
        <v>2</v>
      </c>
      <c r="F57" s="8">
        <f t="shared" si="17"/>
        <v>1.75</v>
      </c>
      <c r="G57" s="3">
        <v>758.71100000000001</v>
      </c>
      <c r="H57" s="11">
        <f t="shared" si="18"/>
        <v>1.3810000000000002</v>
      </c>
      <c r="I57" s="11">
        <f t="shared" si="19"/>
        <v>1.2106000000000003</v>
      </c>
      <c r="J57" s="11">
        <f t="shared" si="20"/>
        <v>1.0126000000000004</v>
      </c>
      <c r="K57" s="11">
        <f t="shared" si="21"/>
        <v>0.80770000000000042</v>
      </c>
      <c r="L57" s="11">
        <f t="shared" si="22"/>
        <v>0.56830000000000047</v>
      </c>
      <c r="M57" s="11">
        <f t="shared" si="8"/>
        <v>1.75</v>
      </c>
      <c r="N57" s="11">
        <f t="shared" si="9"/>
        <v>1.75</v>
      </c>
      <c r="O57" s="11">
        <f t="shared" si="10"/>
        <v>1.75</v>
      </c>
      <c r="P57" s="11">
        <f t="shared" si="11"/>
        <v>1.75</v>
      </c>
      <c r="Q57" s="11">
        <f t="shared" si="12"/>
        <v>1.75</v>
      </c>
      <c r="R57" s="11">
        <f t="shared" si="23"/>
        <v>1.6219000000000001</v>
      </c>
      <c r="S57" s="11">
        <f t="shared" si="24"/>
        <v>1.5082000000000002</v>
      </c>
      <c r="T57" s="8" t="s">
        <v>81</v>
      </c>
      <c r="U57" s="27"/>
    </row>
    <row r="58" spans="1:21" x14ac:dyDescent="0.25">
      <c r="A58" s="8">
        <v>55</v>
      </c>
      <c r="B58" s="8">
        <v>20.328099999999999</v>
      </c>
      <c r="C58" s="8">
        <v>84.648700000000005</v>
      </c>
      <c r="D58" s="3" t="s">
        <v>7</v>
      </c>
      <c r="E58" s="3">
        <v>4</v>
      </c>
      <c r="F58" s="8">
        <f t="shared" si="17"/>
        <v>3.75</v>
      </c>
      <c r="G58" s="3">
        <v>1031.9739999999999</v>
      </c>
      <c r="H58" s="11">
        <f t="shared" si="18"/>
        <v>3.3809999999999998</v>
      </c>
      <c r="I58" s="11">
        <f t="shared" si="19"/>
        <v>3.2105999999999999</v>
      </c>
      <c r="J58" s="11">
        <f t="shared" si="20"/>
        <v>3.0125999999999999</v>
      </c>
      <c r="K58" s="11">
        <f t="shared" si="21"/>
        <v>2.8077000000000001</v>
      </c>
      <c r="L58" s="11">
        <f t="shared" si="22"/>
        <v>2.5683000000000002</v>
      </c>
      <c r="M58" s="11">
        <f t="shared" si="8"/>
        <v>3.75</v>
      </c>
      <c r="N58" s="11">
        <f t="shared" si="9"/>
        <v>3.75</v>
      </c>
      <c r="O58" s="11">
        <f t="shared" si="10"/>
        <v>3.75</v>
      </c>
      <c r="P58" s="11">
        <f t="shared" si="11"/>
        <v>3.75</v>
      </c>
      <c r="Q58" s="11">
        <f t="shared" si="12"/>
        <v>3.75</v>
      </c>
      <c r="R58" s="11">
        <f t="shared" si="23"/>
        <v>3.6219000000000001</v>
      </c>
      <c r="S58" s="11">
        <f t="shared" si="24"/>
        <v>3.5082</v>
      </c>
      <c r="T58" s="8" t="s">
        <v>81</v>
      </c>
      <c r="U58" s="27"/>
    </row>
    <row r="59" spans="1:21" x14ac:dyDescent="0.25">
      <c r="A59" s="8">
        <v>56</v>
      </c>
      <c r="B59" s="8">
        <v>20.3292</v>
      </c>
      <c r="C59" s="8">
        <v>84.641199999999998</v>
      </c>
      <c r="D59" s="3" t="s">
        <v>7</v>
      </c>
      <c r="E59" s="3">
        <v>2</v>
      </c>
      <c r="F59" s="8">
        <f t="shared" si="17"/>
        <v>1.75</v>
      </c>
      <c r="G59" s="3">
        <v>170.351</v>
      </c>
      <c r="H59" s="11">
        <f t="shared" si="18"/>
        <v>1.3810000000000002</v>
      </c>
      <c r="I59" s="11">
        <f t="shared" si="19"/>
        <v>1.2106000000000003</v>
      </c>
      <c r="J59" s="11">
        <f t="shared" si="20"/>
        <v>1.0126000000000004</v>
      </c>
      <c r="K59" s="11">
        <f t="shared" si="21"/>
        <v>0.80770000000000042</v>
      </c>
      <c r="L59" s="11">
        <f t="shared" si="22"/>
        <v>0.56830000000000047</v>
      </c>
      <c r="M59" s="11">
        <f t="shared" si="8"/>
        <v>1.75</v>
      </c>
      <c r="N59" s="11">
        <f t="shared" si="9"/>
        <v>1.75</v>
      </c>
      <c r="O59" s="11">
        <f t="shared" si="10"/>
        <v>1.75</v>
      </c>
      <c r="P59" s="11">
        <f t="shared" si="11"/>
        <v>1.75</v>
      </c>
      <c r="Q59" s="11">
        <f t="shared" si="12"/>
        <v>1.75</v>
      </c>
      <c r="R59" s="11">
        <f t="shared" si="23"/>
        <v>1.6219000000000001</v>
      </c>
      <c r="S59" s="11">
        <f t="shared" si="24"/>
        <v>1.5082000000000002</v>
      </c>
      <c r="T59" s="8" t="s">
        <v>81</v>
      </c>
      <c r="U59" s="27"/>
    </row>
    <row r="60" spans="1:21" x14ac:dyDescent="0.25">
      <c r="A60" s="8">
        <v>57</v>
      </c>
      <c r="B60" s="8">
        <v>20.3306</v>
      </c>
      <c r="C60" s="8">
        <v>84.638999999999996</v>
      </c>
      <c r="D60" s="3" t="s">
        <v>7</v>
      </c>
      <c r="E60" s="3">
        <v>2</v>
      </c>
      <c r="F60" s="8">
        <f t="shared" si="17"/>
        <v>1.75</v>
      </c>
      <c r="G60" s="3">
        <v>586.11</v>
      </c>
      <c r="H60" s="11">
        <f t="shared" si="18"/>
        <v>1.3810000000000002</v>
      </c>
      <c r="I60" s="11">
        <f t="shared" si="19"/>
        <v>1.2106000000000003</v>
      </c>
      <c r="J60" s="11">
        <f t="shared" si="20"/>
        <v>1.0126000000000004</v>
      </c>
      <c r="K60" s="11">
        <f t="shared" si="21"/>
        <v>0.80770000000000042</v>
      </c>
      <c r="L60" s="11">
        <f t="shared" si="22"/>
        <v>0.56830000000000047</v>
      </c>
      <c r="M60" s="11">
        <f t="shared" si="8"/>
        <v>1.75</v>
      </c>
      <c r="N60" s="11">
        <f t="shared" si="9"/>
        <v>1.75</v>
      </c>
      <c r="O60" s="11">
        <f t="shared" si="10"/>
        <v>1.75</v>
      </c>
      <c r="P60" s="11">
        <f t="shared" si="11"/>
        <v>1.75</v>
      </c>
      <c r="Q60" s="11">
        <f t="shared" si="12"/>
        <v>1.75</v>
      </c>
      <c r="R60" s="11">
        <f t="shared" si="23"/>
        <v>1.6219000000000001</v>
      </c>
      <c r="S60" s="11">
        <f t="shared" si="24"/>
        <v>1.5082000000000002</v>
      </c>
      <c r="T60" s="8" t="s">
        <v>81</v>
      </c>
      <c r="U60" s="27"/>
    </row>
    <row r="61" spans="1:21" x14ac:dyDescent="0.25">
      <c r="A61" s="8">
        <v>58</v>
      </c>
      <c r="B61" s="8">
        <v>20.322900000000001</v>
      </c>
      <c r="C61" s="8">
        <v>84.629599999999996</v>
      </c>
      <c r="D61" s="3" t="s">
        <v>7</v>
      </c>
      <c r="E61" s="3">
        <v>3</v>
      </c>
      <c r="F61" s="8">
        <f t="shared" si="17"/>
        <v>2.75</v>
      </c>
      <c r="G61" s="3">
        <v>4415.68</v>
      </c>
      <c r="H61" s="11">
        <f t="shared" si="18"/>
        <v>2.3809999999999998</v>
      </c>
      <c r="I61" s="11">
        <f t="shared" si="19"/>
        <v>2.2105999999999999</v>
      </c>
      <c r="J61" s="11">
        <f t="shared" si="20"/>
        <v>2.0125999999999999</v>
      </c>
      <c r="K61" s="11">
        <f t="shared" si="21"/>
        <v>1.8076999999999999</v>
      </c>
      <c r="L61" s="11">
        <f t="shared" si="22"/>
        <v>1.5682999999999998</v>
      </c>
      <c r="M61" s="11">
        <f t="shared" si="8"/>
        <v>2.75</v>
      </c>
      <c r="N61" s="11">
        <f t="shared" si="9"/>
        <v>2.75</v>
      </c>
      <c r="O61" s="11">
        <f t="shared" si="10"/>
        <v>2.75</v>
      </c>
      <c r="P61" s="11">
        <f t="shared" si="11"/>
        <v>2.75</v>
      </c>
      <c r="Q61" s="11">
        <f t="shared" si="12"/>
        <v>2.75</v>
      </c>
      <c r="R61" s="11">
        <f t="shared" si="23"/>
        <v>2.6219000000000001</v>
      </c>
      <c r="S61" s="11">
        <f t="shared" si="24"/>
        <v>2.5082</v>
      </c>
      <c r="T61" s="8" t="s">
        <v>81</v>
      </c>
      <c r="U61" s="27"/>
    </row>
    <row r="62" spans="1:21" x14ac:dyDescent="0.25">
      <c r="A62" s="8">
        <v>59</v>
      </c>
      <c r="B62" s="8">
        <v>20.337</v>
      </c>
      <c r="C62" s="8">
        <v>84.63</v>
      </c>
      <c r="D62" s="3" t="s">
        <v>7</v>
      </c>
      <c r="E62" s="3">
        <v>4</v>
      </c>
      <c r="F62" s="8">
        <f t="shared" si="17"/>
        <v>3.75</v>
      </c>
      <c r="G62" s="3">
        <v>680.73400000000004</v>
      </c>
      <c r="H62" s="11">
        <f t="shared" si="18"/>
        <v>3.3809999999999998</v>
      </c>
      <c r="I62" s="11">
        <f t="shared" si="19"/>
        <v>3.2105999999999999</v>
      </c>
      <c r="J62" s="11">
        <f t="shared" si="20"/>
        <v>3.0125999999999999</v>
      </c>
      <c r="K62" s="11">
        <f t="shared" si="21"/>
        <v>2.8077000000000001</v>
      </c>
      <c r="L62" s="11">
        <f t="shared" si="22"/>
        <v>2.5683000000000002</v>
      </c>
      <c r="M62" s="11">
        <f t="shared" si="8"/>
        <v>3.75</v>
      </c>
      <c r="N62" s="11">
        <f t="shared" si="9"/>
        <v>3.75</v>
      </c>
      <c r="O62" s="11">
        <f t="shared" si="10"/>
        <v>3.75</v>
      </c>
      <c r="P62" s="11">
        <f t="shared" si="11"/>
        <v>3.75</v>
      </c>
      <c r="Q62" s="11">
        <f t="shared" si="12"/>
        <v>3.75</v>
      </c>
      <c r="R62" s="11">
        <f t="shared" si="23"/>
        <v>3.6219000000000001</v>
      </c>
      <c r="S62" s="11">
        <f t="shared" si="24"/>
        <v>3.5082</v>
      </c>
      <c r="T62" s="8" t="s">
        <v>81</v>
      </c>
      <c r="U62" s="27"/>
    </row>
    <row r="63" spans="1:21" x14ac:dyDescent="0.25">
      <c r="A63" s="8">
        <v>60</v>
      </c>
      <c r="B63" s="8">
        <v>20.3384</v>
      </c>
      <c r="C63" s="8">
        <v>84.633499999999998</v>
      </c>
      <c r="D63" s="3" t="s">
        <v>7</v>
      </c>
      <c r="E63" s="3">
        <v>2</v>
      </c>
      <c r="F63" s="8">
        <f t="shared" si="17"/>
        <v>1.75</v>
      </c>
      <c r="G63" s="3">
        <v>424.97899999999998</v>
      </c>
      <c r="H63" s="11">
        <f t="shared" si="18"/>
        <v>1.3810000000000002</v>
      </c>
      <c r="I63" s="11">
        <f t="shared" si="19"/>
        <v>1.2106000000000003</v>
      </c>
      <c r="J63" s="11">
        <f t="shared" si="20"/>
        <v>1.0126000000000004</v>
      </c>
      <c r="K63" s="11">
        <f t="shared" si="21"/>
        <v>0.80770000000000042</v>
      </c>
      <c r="L63" s="11">
        <f t="shared" si="22"/>
        <v>0.56830000000000047</v>
      </c>
      <c r="M63" s="11">
        <f t="shared" si="8"/>
        <v>1.75</v>
      </c>
      <c r="N63" s="11">
        <f t="shared" si="9"/>
        <v>1.75</v>
      </c>
      <c r="O63" s="11">
        <f t="shared" si="10"/>
        <v>1.75</v>
      </c>
      <c r="P63" s="11">
        <f t="shared" si="11"/>
        <v>1.75</v>
      </c>
      <c r="Q63" s="11">
        <f t="shared" si="12"/>
        <v>1.75</v>
      </c>
      <c r="R63" s="11">
        <f t="shared" si="23"/>
        <v>1.6219000000000001</v>
      </c>
      <c r="S63" s="11">
        <f t="shared" si="24"/>
        <v>1.5082000000000002</v>
      </c>
      <c r="T63" s="8" t="s">
        <v>81</v>
      </c>
      <c r="U63" s="27"/>
    </row>
    <row r="64" spans="1:21" x14ac:dyDescent="0.25">
      <c r="A64" s="8">
        <v>61</v>
      </c>
      <c r="B64" s="8">
        <v>20.340199999999999</v>
      </c>
      <c r="C64" s="8">
        <v>84.638000000000005</v>
      </c>
      <c r="D64" s="3" t="s">
        <v>7</v>
      </c>
      <c r="E64" s="3">
        <v>2</v>
      </c>
      <c r="F64" s="8">
        <f t="shared" si="17"/>
        <v>1.75</v>
      </c>
      <c r="G64" s="3">
        <v>927.577</v>
      </c>
      <c r="H64" s="11">
        <f t="shared" si="18"/>
        <v>1.3810000000000002</v>
      </c>
      <c r="I64" s="11">
        <f t="shared" si="19"/>
        <v>1.2106000000000003</v>
      </c>
      <c r="J64" s="11">
        <f t="shared" si="20"/>
        <v>1.0126000000000004</v>
      </c>
      <c r="K64" s="11">
        <f t="shared" si="21"/>
        <v>0.80770000000000042</v>
      </c>
      <c r="L64" s="11">
        <f t="shared" si="22"/>
        <v>0.56830000000000047</v>
      </c>
      <c r="M64" s="11">
        <f t="shared" si="8"/>
        <v>1.75</v>
      </c>
      <c r="N64" s="11">
        <f t="shared" si="9"/>
        <v>1.75</v>
      </c>
      <c r="O64" s="11">
        <f t="shared" si="10"/>
        <v>1.75</v>
      </c>
      <c r="P64" s="11">
        <f t="shared" si="11"/>
        <v>1.75</v>
      </c>
      <c r="Q64" s="11">
        <f t="shared" si="12"/>
        <v>1.75</v>
      </c>
      <c r="R64" s="11">
        <f t="shared" si="23"/>
        <v>1.6219000000000001</v>
      </c>
      <c r="S64" s="11">
        <f t="shared" si="24"/>
        <v>1.5082000000000002</v>
      </c>
      <c r="T64" s="8" t="s">
        <v>81</v>
      </c>
      <c r="U64" s="27"/>
    </row>
    <row r="65" spans="1:21" x14ac:dyDescent="0.25">
      <c r="A65" s="8">
        <v>62</v>
      </c>
      <c r="B65" s="8">
        <v>20.339300000000001</v>
      </c>
      <c r="C65" s="8">
        <v>84.628500000000003</v>
      </c>
      <c r="D65" s="3" t="s">
        <v>7</v>
      </c>
      <c r="E65" s="3">
        <v>3</v>
      </c>
      <c r="F65" s="8">
        <f t="shared" si="17"/>
        <v>2.75</v>
      </c>
      <c r="G65" s="3">
        <v>1079.7950000000001</v>
      </c>
      <c r="H65" s="11">
        <f t="shared" si="18"/>
        <v>2.3809999999999998</v>
      </c>
      <c r="I65" s="11">
        <f t="shared" si="19"/>
        <v>2.2105999999999999</v>
      </c>
      <c r="J65" s="11">
        <f t="shared" si="20"/>
        <v>2.0125999999999999</v>
      </c>
      <c r="K65" s="11">
        <f t="shared" si="21"/>
        <v>1.8076999999999999</v>
      </c>
      <c r="L65" s="11">
        <f t="shared" si="22"/>
        <v>1.5682999999999998</v>
      </c>
      <c r="M65" s="11">
        <f t="shared" si="8"/>
        <v>2.75</v>
      </c>
      <c r="N65" s="11">
        <f t="shared" si="9"/>
        <v>2.75</v>
      </c>
      <c r="O65" s="11">
        <f t="shared" si="10"/>
        <v>2.75</v>
      </c>
      <c r="P65" s="11">
        <f t="shared" si="11"/>
        <v>2.75</v>
      </c>
      <c r="Q65" s="11">
        <f t="shared" si="12"/>
        <v>2.75</v>
      </c>
      <c r="R65" s="11">
        <f t="shared" si="23"/>
        <v>2.6219000000000001</v>
      </c>
      <c r="S65" s="11">
        <f t="shared" si="24"/>
        <v>2.5082</v>
      </c>
      <c r="T65" s="8" t="s">
        <v>81</v>
      </c>
      <c r="U65" s="27"/>
    </row>
    <row r="66" spans="1:21" x14ac:dyDescent="0.25">
      <c r="A66" s="8">
        <v>63</v>
      </c>
      <c r="B66" s="8">
        <v>20.341699999999999</v>
      </c>
      <c r="C66" s="8">
        <v>84.629499999999993</v>
      </c>
      <c r="D66" s="3" t="s">
        <v>7</v>
      </c>
      <c r="E66" s="3">
        <v>3</v>
      </c>
      <c r="F66" s="8">
        <f t="shared" si="17"/>
        <v>2.75</v>
      </c>
      <c r="G66" s="3">
        <v>511.233</v>
      </c>
      <c r="H66" s="11">
        <f t="shared" si="18"/>
        <v>2.3809999999999998</v>
      </c>
      <c r="I66" s="11">
        <f t="shared" si="19"/>
        <v>2.2105999999999999</v>
      </c>
      <c r="J66" s="11">
        <f t="shared" si="20"/>
        <v>2.0125999999999999</v>
      </c>
      <c r="K66" s="11">
        <f t="shared" si="21"/>
        <v>1.8076999999999999</v>
      </c>
      <c r="L66" s="11">
        <f t="shared" si="22"/>
        <v>1.5682999999999998</v>
      </c>
      <c r="M66" s="11">
        <f t="shared" si="8"/>
        <v>2.75</v>
      </c>
      <c r="N66" s="11">
        <f t="shared" si="9"/>
        <v>2.75</v>
      </c>
      <c r="O66" s="11">
        <f t="shared" si="10"/>
        <v>2.75</v>
      </c>
      <c r="P66" s="11">
        <f t="shared" si="11"/>
        <v>2.75</v>
      </c>
      <c r="Q66" s="11">
        <f t="shared" si="12"/>
        <v>2.75</v>
      </c>
      <c r="R66" s="11">
        <f t="shared" si="23"/>
        <v>2.6219000000000001</v>
      </c>
      <c r="S66" s="11">
        <f t="shared" si="24"/>
        <v>2.5082</v>
      </c>
      <c r="T66" s="8" t="s">
        <v>81</v>
      </c>
      <c r="U66" s="27"/>
    </row>
    <row r="67" spans="1:21" x14ac:dyDescent="0.25">
      <c r="A67" s="8">
        <v>64</v>
      </c>
      <c r="B67" s="8">
        <v>20.3383</v>
      </c>
      <c r="C67" s="8">
        <v>84.6233</v>
      </c>
      <c r="D67" s="3" t="s">
        <v>7</v>
      </c>
      <c r="E67" s="3">
        <v>3</v>
      </c>
      <c r="F67" s="8">
        <f t="shared" ref="F67:F98" si="25">E67-$Z$21</f>
        <v>2.75</v>
      </c>
      <c r="G67" s="3">
        <v>1011.7910000000001</v>
      </c>
      <c r="H67" s="11">
        <f t="shared" si="18"/>
        <v>2.3809999999999998</v>
      </c>
      <c r="I67" s="11">
        <f t="shared" ref="I67" si="26">IF(H67-$AC$4&lt;0, 0, H67-$AC$4)</f>
        <v>2.2105999999999999</v>
      </c>
      <c r="J67" s="11">
        <f t="shared" ref="J67" si="27">IF(I67-$AC$5&lt;0, 0, I67-$AC$5)</f>
        <v>2.0125999999999999</v>
      </c>
      <c r="K67" s="11">
        <f t="shared" ref="K67" si="28">IF(J67-$AC$6&lt;0, 0, J67-$AC$6)</f>
        <v>1.8076999999999999</v>
      </c>
      <c r="L67" s="11">
        <f t="shared" ref="L67" si="29">IF(K67-$AC$7&lt;0, 0, K67-$AC$7)</f>
        <v>1.5682999999999998</v>
      </c>
      <c r="M67" s="11">
        <f t="shared" si="8"/>
        <v>2.75</v>
      </c>
      <c r="N67" s="11">
        <f t="shared" si="9"/>
        <v>2.75</v>
      </c>
      <c r="O67" s="11">
        <f t="shared" si="10"/>
        <v>2.75</v>
      </c>
      <c r="P67" s="11">
        <f t="shared" si="11"/>
        <v>2.75</v>
      </c>
      <c r="Q67" s="11">
        <f t="shared" si="12"/>
        <v>2.75</v>
      </c>
      <c r="R67" s="11">
        <f t="shared" ref="R67" si="30">IF(Q67-$AC$13&lt;0, 0, Q67-$AC$13)</f>
        <v>2.6219000000000001</v>
      </c>
      <c r="S67" s="11">
        <f t="shared" ref="S67" si="31">IF(R67-$AC$14&lt;0, 0, R67-$AC$14)</f>
        <v>2.5082</v>
      </c>
      <c r="T67" s="8" t="s">
        <v>81</v>
      </c>
      <c r="U67" s="27"/>
    </row>
    <row r="68" spans="1:21" x14ac:dyDescent="0.25">
      <c r="A68" s="8">
        <v>65</v>
      </c>
      <c r="B68" s="8">
        <v>20.335599999999999</v>
      </c>
      <c r="C68" s="8">
        <v>84.623000000000005</v>
      </c>
      <c r="D68" s="3" t="s">
        <v>7</v>
      </c>
      <c r="E68" s="3">
        <v>2</v>
      </c>
      <c r="F68" s="8">
        <f t="shared" si="25"/>
        <v>1.75</v>
      </c>
      <c r="G68" s="3">
        <v>466.06700000000001</v>
      </c>
      <c r="H68" s="11">
        <f t="shared" ref="H68:H131" si="32">IF(S68-$AC$3&lt;0, 0, S68-$AC$3)</f>
        <v>1.3810000000000002</v>
      </c>
      <c r="I68" s="11">
        <f t="shared" ref="I68:I131" si="33">IF(H68-$AC$4&lt;0, 0, H68-$AC$4)</f>
        <v>1.2106000000000003</v>
      </c>
      <c r="J68" s="11">
        <f t="shared" ref="J68:J131" si="34">IF(I68-$AC$5&lt;0, 0, I68-$AC$5)</f>
        <v>1.0126000000000004</v>
      </c>
      <c r="K68" s="11">
        <f t="shared" ref="K68:K131" si="35">IF(J68-$AC$6&lt;0, 0, J68-$AC$6)</f>
        <v>0.80770000000000042</v>
      </c>
      <c r="L68" s="11">
        <f t="shared" ref="L68:L131" si="36">IF(K68-$AC$7&lt;0, 0, K68-$AC$7)</f>
        <v>0.56830000000000047</v>
      </c>
      <c r="M68" s="11">
        <f t="shared" ref="M68:M131" si="37">F68</f>
        <v>1.75</v>
      </c>
      <c r="N68" s="11">
        <f t="shared" ref="N68:N131" si="38">F68</f>
        <v>1.75</v>
      </c>
      <c r="O68" s="11">
        <f t="shared" ref="O68:O131" si="39">F68</f>
        <v>1.75</v>
      </c>
      <c r="P68" s="11">
        <f t="shared" ref="P68:P131" si="40">F68</f>
        <v>1.75</v>
      </c>
      <c r="Q68" s="11">
        <f t="shared" ref="Q68:Q131" si="41">F68</f>
        <v>1.75</v>
      </c>
      <c r="R68" s="11">
        <f t="shared" ref="R68:R131" si="42">IF(Q68-$AC$13&lt;0, 0, Q68-$AC$13)</f>
        <v>1.6219000000000001</v>
      </c>
      <c r="S68" s="11">
        <f t="shared" ref="S68:S131" si="43">IF(R68-$AC$14&lt;0, 0, R68-$AC$14)</f>
        <v>1.5082000000000002</v>
      </c>
      <c r="T68" s="8" t="s">
        <v>81</v>
      </c>
      <c r="U68" s="27"/>
    </row>
    <row r="69" spans="1:21" x14ac:dyDescent="0.25">
      <c r="A69" s="8">
        <v>66</v>
      </c>
      <c r="B69" s="8">
        <v>20.305499999999999</v>
      </c>
      <c r="C69" s="8">
        <v>84.636399999999995</v>
      </c>
      <c r="D69" s="3" t="s">
        <v>7</v>
      </c>
      <c r="E69" s="3">
        <v>2</v>
      </c>
      <c r="F69" s="8">
        <f t="shared" si="25"/>
        <v>1.75</v>
      </c>
      <c r="G69" s="3">
        <v>311.87799999999999</v>
      </c>
      <c r="H69" s="11">
        <f t="shared" si="32"/>
        <v>1.3810000000000002</v>
      </c>
      <c r="I69" s="11">
        <f t="shared" si="33"/>
        <v>1.2106000000000003</v>
      </c>
      <c r="J69" s="11">
        <f t="shared" si="34"/>
        <v>1.0126000000000004</v>
      </c>
      <c r="K69" s="11">
        <f t="shared" si="35"/>
        <v>0.80770000000000042</v>
      </c>
      <c r="L69" s="11">
        <f t="shared" si="36"/>
        <v>0.56830000000000047</v>
      </c>
      <c r="M69" s="11">
        <f t="shared" si="37"/>
        <v>1.75</v>
      </c>
      <c r="N69" s="11">
        <f t="shared" si="38"/>
        <v>1.75</v>
      </c>
      <c r="O69" s="11">
        <f t="shared" si="39"/>
        <v>1.75</v>
      </c>
      <c r="P69" s="11">
        <f t="shared" si="40"/>
        <v>1.75</v>
      </c>
      <c r="Q69" s="11">
        <f t="shared" si="41"/>
        <v>1.75</v>
      </c>
      <c r="R69" s="11">
        <f t="shared" si="42"/>
        <v>1.6219000000000001</v>
      </c>
      <c r="S69" s="11">
        <f t="shared" si="43"/>
        <v>1.5082000000000002</v>
      </c>
      <c r="T69" s="8" t="s">
        <v>83</v>
      </c>
      <c r="U69" s="27"/>
    </row>
    <row r="70" spans="1:21" x14ac:dyDescent="0.25">
      <c r="A70" s="8">
        <v>67</v>
      </c>
      <c r="B70" s="8">
        <v>20.305900000000001</v>
      </c>
      <c r="C70" s="8">
        <v>84.643500000000003</v>
      </c>
      <c r="D70" s="3" t="s">
        <v>7</v>
      </c>
      <c r="E70" s="3">
        <v>2</v>
      </c>
      <c r="F70" s="8">
        <f t="shared" si="25"/>
        <v>1.75</v>
      </c>
      <c r="G70" s="3">
        <v>433.40600000000001</v>
      </c>
      <c r="H70" s="11">
        <f t="shared" si="32"/>
        <v>1.3810000000000002</v>
      </c>
      <c r="I70" s="11">
        <f t="shared" si="33"/>
        <v>1.2106000000000003</v>
      </c>
      <c r="J70" s="11">
        <f t="shared" si="34"/>
        <v>1.0126000000000004</v>
      </c>
      <c r="K70" s="11">
        <f t="shared" si="35"/>
        <v>0.80770000000000042</v>
      </c>
      <c r="L70" s="11">
        <f t="shared" si="36"/>
        <v>0.56830000000000047</v>
      </c>
      <c r="M70" s="11">
        <f t="shared" si="37"/>
        <v>1.75</v>
      </c>
      <c r="N70" s="11">
        <f t="shared" si="38"/>
        <v>1.75</v>
      </c>
      <c r="O70" s="11">
        <f t="shared" si="39"/>
        <v>1.75</v>
      </c>
      <c r="P70" s="11">
        <f t="shared" si="40"/>
        <v>1.75</v>
      </c>
      <c r="Q70" s="11">
        <f t="shared" si="41"/>
        <v>1.75</v>
      </c>
      <c r="R70" s="11">
        <f t="shared" si="42"/>
        <v>1.6219000000000001</v>
      </c>
      <c r="S70" s="11">
        <f t="shared" si="43"/>
        <v>1.5082000000000002</v>
      </c>
      <c r="T70" s="8" t="s">
        <v>83</v>
      </c>
      <c r="U70" s="27"/>
    </row>
    <row r="71" spans="1:21" x14ac:dyDescent="0.25">
      <c r="A71" s="8">
        <v>68</v>
      </c>
      <c r="B71" s="8">
        <v>20.3096</v>
      </c>
      <c r="C71" s="8">
        <v>84.6417</v>
      </c>
      <c r="D71" s="3" t="s">
        <v>7</v>
      </c>
      <c r="E71" s="3">
        <v>2</v>
      </c>
      <c r="F71" s="8">
        <f t="shared" si="25"/>
        <v>1.75</v>
      </c>
      <c r="G71" s="3">
        <v>1342.0160000000001</v>
      </c>
      <c r="H71" s="11">
        <f t="shared" si="32"/>
        <v>1.3810000000000002</v>
      </c>
      <c r="I71" s="11">
        <f t="shared" si="33"/>
        <v>1.2106000000000003</v>
      </c>
      <c r="J71" s="11">
        <f t="shared" si="34"/>
        <v>1.0126000000000004</v>
      </c>
      <c r="K71" s="11">
        <f t="shared" si="35"/>
        <v>0.80770000000000042</v>
      </c>
      <c r="L71" s="11">
        <f t="shared" si="36"/>
        <v>0.56830000000000047</v>
      </c>
      <c r="M71" s="11">
        <f t="shared" si="37"/>
        <v>1.75</v>
      </c>
      <c r="N71" s="11">
        <f t="shared" si="38"/>
        <v>1.75</v>
      </c>
      <c r="O71" s="11">
        <f t="shared" si="39"/>
        <v>1.75</v>
      </c>
      <c r="P71" s="11">
        <f t="shared" si="40"/>
        <v>1.75</v>
      </c>
      <c r="Q71" s="11">
        <f t="shared" si="41"/>
        <v>1.75</v>
      </c>
      <c r="R71" s="11">
        <f t="shared" si="42"/>
        <v>1.6219000000000001</v>
      </c>
      <c r="S71" s="11">
        <f t="shared" si="43"/>
        <v>1.5082000000000002</v>
      </c>
      <c r="T71" s="8" t="s">
        <v>83</v>
      </c>
      <c r="U71" s="27"/>
    </row>
    <row r="72" spans="1:21" x14ac:dyDescent="0.25">
      <c r="A72" s="8">
        <v>69</v>
      </c>
      <c r="B72" s="8">
        <v>20.309799999999999</v>
      </c>
      <c r="C72" s="8">
        <v>84.642200000000003</v>
      </c>
      <c r="D72" s="3" t="s">
        <v>7</v>
      </c>
      <c r="E72" s="3">
        <v>3</v>
      </c>
      <c r="F72" s="8">
        <f t="shared" si="25"/>
        <v>2.75</v>
      </c>
      <c r="G72" s="3">
        <v>4918.4470000000001</v>
      </c>
      <c r="H72" s="11">
        <f t="shared" si="32"/>
        <v>2.3809999999999998</v>
      </c>
      <c r="I72" s="11">
        <f t="shared" si="33"/>
        <v>2.2105999999999999</v>
      </c>
      <c r="J72" s="11">
        <f t="shared" si="34"/>
        <v>2.0125999999999999</v>
      </c>
      <c r="K72" s="11">
        <f t="shared" si="35"/>
        <v>1.8076999999999999</v>
      </c>
      <c r="L72" s="11">
        <f t="shared" si="36"/>
        <v>1.5682999999999998</v>
      </c>
      <c r="M72" s="11">
        <f t="shared" si="37"/>
        <v>2.75</v>
      </c>
      <c r="N72" s="11">
        <f t="shared" si="38"/>
        <v>2.75</v>
      </c>
      <c r="O72" s="11">
        <f t="shared" si="39"/>
        <v>2.75</v>
      </c>
      <c r="P72" s="11">
        <f t="shared" si="40"/>
        <v>2.75</v>
      </c>
      <c r="Q72" s="11">
        <f t="shared" si="41"/>
        <v>2.75</v>
      </c>
      <c r="R72" s="11">
        <f t="shared" si="42"/>
        <v>2.6219000000000001</v>
      </c>
      <c r="S72" s="11">
        <f t="shared" si="43"/>
        <v>2.5082</v>
      </c>
      <c r="T72" s="8" t="s">
        <v>83</v>
      </c>
      <c r="U72" s="27"/>
    </row>
    <row r="73" spans="1:21" x14ac:dyDescent="0.25">
      <c r="A73" s="8">
        <v>70</v>
      </c>
      <c r="B73" s="8">
        <v>20.313300000000002</v>
      </c>
      <c r="C73" s="8">
        <v>84.6434</v>
      </c>
      <c r="D73" s="3" t="s">
        <v>7</v>
      </c>
      <c r="E73" s="3">
        <v>2</v>
      </c>
      <c r="F73" s="8">
        <f t="shared" si="25"/>
        <v>1.75</v>
      </c>
      <c r="G73" s="3">
        <v>1022.015</v>
      </c>
      <c r="H73" s="11">
        <f t="shared" si="32"/>
        <v>1.3810000000000002</v>
      </c>
      <c r="I73" s="11">
        <f t="shared" si="33"/>
        <v>1.2106000000000003</v>
      </c>
      <c r="J73" s="11">
        <f t="shared" si="34"/>
        <v>1.0126000000000004</v>
      </c>
      <c r="K73" s="11">
        <f t="shared" si="35"/>
        <v>0.80770000000000042</v>
      </c>
      <c r="L73" s="11">
        <f t="shared" si="36"/>
        <v>0.56830000000000047</v>
      </c>
      <c r="M73" s="11">
        <f t="shared" si="37"/>
        <v>1.75</v>
      </c>
      <c r="N73" s="11">
        <f t="shared" si="38"/>
        <v>1.75</v>
      </c>
      <c r="O73" s="11">
        <f t="shared" si="39"/>
        <v>1.75</v>
      </c>
      <c r="P73" s="11">
        <f t="shared" si="40"/>
        <v>1.75</v>
      </c>
      <c r="Q73" s="11">
        <f t="shared" si="41"/>
        <v>1.75</v>
      </c>
      <c r="R73" s="11">
        <f t="shared" si="42"/>
        <v>1.6219000000000001</v>
      </c>
      <c r="S73" s="11">
        <f t="shared" si="43"/>
        <v>1.5082000000000002</v>
      </c>
      <c r="T73" s="8" t="s">
        <v>91</v>
      </c>
      <c r="U73" s="27"/>
    </row>
    <row r="74" spans="1:21" x14ac:dyDescent="0.25">
      <c r="A74" s="8">
        <v>71</v>
      </c>
      <c r="B74" s="8">
        <v>20.3172</v>
      </c>
      <c r="C74" s="8">
        <v>84.638099999999994</v>
      </c>
      <c r="D74" s="3" t="s">
        <v>7</v>
      </c>
      <c r="E74" s="3">
        <v>2</v>
      </c>
      <c r="F74" s="8">
        <f t="shared" si="25"/>
        <v>1.75</v>
      </c>
      <c r="G74" s="3">
        <v>3087.306</v>
      </c>
      <c r="H74" s="11">
        <f t="shared" si="32"/>
        <v>1.3810000000000002</v>
      </c>
      <c r="I74" s="11">
        <f t="shared" si="33"/>
        <v>1.2106000000000003</v>
      </c>
      <c r="J74" s="11">
        <f t="shared" si="34"/>
        <v>1.0126000000000004</v>
      </c>
      <c r="K74" s="11">
        <f t="shared" si="35"/>
        <v>0.80770000000000042</v>
      </c>
      <c r="L74" s="11">
        <f t="shared" si="36"/>
        <v>0.56830000000000047</v>
      </c>
      <c r="M74" s="11">
        <f t="shared" si="37"/>
        <v>1.75</v>
      </c>
      <c r="N74" s="11">
        <f t="shared" si="38"/>
        <v>1.75</v>
      </c>
      <c r="O74" s="11">
        <f t="shared" si="39"/>
        <v>1.75</v>
      </c>
      <c r="P74" s="11">
        <f t="shared" si="40"/>
        <v>1.75</v>
      </c>
      <c r="Q74" s="11">
        <f t="shared" si="41"/>
        <v>1.75</v>
      </c>
      <c r="R74" s="11">
        <f t="shared" si="42"/>
        <v>1.6219000000000001</v>
      </c>
      <c r="S74" s="11">
        <f t="shared" si="43"/>
        <v>1.5082000000000002</v>
      </c>
      <c r="T74" s="8" t="s">
        <v>83</v>
      </c>
      <c r="U74" s="27"/>
    </row>
    <row r="75" spans="1:21" x14ac:dyDescent="0.25">
      <c r="A75" s="8">
        <v>72</v>
      </c>
      <c r="B75" s="8">
        <v>20.316600000000001</v>
      </c>
      <c r="C75" s="8">
        <v>84.638199999999998</v>
      </c>
      <c r="D75" s="3" t="s">
        <v>7</v>
      </c>
      <c r="E75" s="3">
        <v>2</v>
      </c>
      <c r="F75" s="8">
        <f t="shared" si="25"/>
        <v>1.75</v>
      </c>
      <c r="G75" s="3">
        <v>3789.1790000000001</v>
      </c>
      <c r="H75" s="11">
        <f t="shared" si="32"/>
        <v>1.3810000000000002</v>
      </c>
      <c r="I75" s="11">
        <f t="shared" si="33"/>
        <v>1.2106000000000003</v>
      </c>
      <c r="J75" s="11">
        <f t="shared" si="34"/>
        <v>1.0126000000000004</v>
      </c>
      <c r="K75" s="11">
        <f t="shared" si="35"/>
        <v>0.80770000000000042</v>
      </c>
      <c r="L75" s="11">
        <f t="shared" si="36"/>
        <v>0.56830000000000047</v>
      </c>
      <c r="M75" s="11">
        <f t="shared" si="37"/>
        <v>1.75</v>
      </c>
      <c r="N75" s="11">
        <f t="shared" si="38"/>
        <v>1.75</v>
      </c>
      <c r="O75" s="11">
        <f t="shared" si="39"/>
        <v>1.75</v>
      </c>
      <c r="P75" s="11">
        <f t="shared" si="40"/>
        <v>1.75</v>
      </c>
      <c r="Q75" s="11">
        <f t="shared" si="41"/>
        <v>1.75</v>
      </c>
      <c r="R75" s="11">
        <f t="shared" si="42"/>
        <v>1.6219000000000001</v>
      </c>
      <c r="S75" s="11">
        <f t="shared" si="43"/>
        <v>1.5082000000000002</v>
      </c>
      <c r="T75" s="8" t="s">
        <v>83</v>
      </c>
      <c r="U75" s="27"/>
    </row>
    <row r="76" spans="1:21" x14ac:dyDescent="0.25">
      <c r="A76" s="8">
        <v>73</v>
      </c>
      <c r="B76" s="8">
        <v>20.3124</v>
      </c>
      <c r="C76" s="8">
        <v>84.633899999999997</v>
      </c>
      <c r="D76" s="3" t="s">
        <v>7</v>
      </c>
      <c r="E76" s="3">
        <v>2</v>
      </c>
      <c r="F76" s="8">
        <f t="shared" si="25"/>
        <v>1.75</v>
      </c>
      <c r="G76" s="3">
        <v>683.63300000000004</v>
      </c>
      <c r="H76" s="11">
        <f t="shared" si="32"/>
        <v>1.3810000000000002</v>
      </c>
      <c r="I76" s="11">
        <f t="shared" si="33"/>
        <v>1.2106000000000003</v>
      </c>
      <c r="J76" s="11">
        <f t="shared" si="34"/>
        <v>1.0126000000000004</v>
      </c>
      <c r="K76" s="11">
        <f t="shared" si="35"/>
        <v>0.80770000000000042</v>
      </c>
      <c r="L76" s="11">
        <f t="shared" si="36"/>
        <v>0.56830000000000047</v>
      </c>
      <c r="M76" s="11">
        <f t="shared" si="37"/>
        <v>1.75</v>
      </c>
      <c r="N76" s="11">
        <f t="shared" si="38"/>
        <v>1.75</v>
      </c>
      <c r="O76" s="11">
        <f t="shared" si="39"/>
        <v>1.75</v>
      </c>
      <c r="P76" s="11">
        <f t="shared" si="40"/>
        <v>1.75</v>
      </c>
      <c r="Q76" s="11">
        <f t="shared" si="41"/>
        <v>1.75</v>
      </c>
      <c r="R76" s="11">
        <f t="shared" si="42"/>
        <v>1.6219000000000001</v>
      </c>
      <c r="S76" s="11">
        <f t="shared" si="43"/>
        <v>1.5082000000000002</v>
      </c>
      <c r="T76" s="8" t="s">
        <v>83</v>
      </c>
      <c r="U76" s="27"/>
    </row>
    <row r="77" spans="1:21" x14ac:dyDescent="0.25">
      <c r="A77" s="8">
        <v>74</v>
      </c>
      <c r="B77" s="8">
        <v>20.3203</v>
      </c>
      <c r="C77" s="8">
        <v>84.642200000000003</v>
      </c>
      <c r="D77" s="3" t="s">
        <v>7</v>
      </c>
      <c r="E77" s="3">
        <v>2</v>
      </c>
      <c r="F77" s="8">
        <f t="shared" si="25"/>
        <v>1.75</v>
      </c>
      <c r="G77" s="3">
        <v>395.22399999999999</v>
      </c>
      <c r="H77" s="11">
        <f t="shared" si="32"/>
        <v>1.3810000000000002</v>
      </c>
      <c r="I77" s="11">
        <f t="shared" si="33"/>
        <v>1.2106000000000003</v>
      </c>
      <c r="J77" s="11">
        <f t="shared" si="34"/>
        <v>1.0126000000000004</v>
      </c>
      <c r="K77" s="11">
        <f t="shared" si="35"/>
        <v>0.80770000000000042</v>
      </c>
      <c r="L77" s="11">
        <f t="shared" si="36"/>
        <v>0.56830000000000047</v>
      </c>
      <c r="M77" s="11">
        <f t="shared" si="37"/>
        <v>1.75</v>
      </c>
      <c r="N77" s="11">
        <f t="shared" si="38"/>
        <v>1.75</v>
      </c>
      <c r="O77" s="11">
        <f t="shared" si="39"/>
        <v>1.75</v>
      </c>
      <c r="P77" s="11">
        <f t="shared" si="40"/>
        <v>1.75</v>
      </c>
      <c r="Q77" s="11">
        <f t="shared" si="41"/>
        <v>1.75</v>
      </c>
      <c r="R77" s="11">
        <f t="shared" si="42"/>
        <v>1.6219000000000001</v>
      </c>
      <c r="S77" s="11">
        <f t="shared" si="43"/>
        <v>1.5082000000000002</v>
      </c>
      <c r="T77" s="8" t="s">
        <v>83</v>
      </c>
      <c r="U77" s="27"/>
    </row>
    <row r="78" spans="1:21" x14ac:dyDescent="0.25">
      <c r="A78" s="8">
        <v>75</v>
      </c>
      <c r="B78" s="8">
        <v>20.32</v>
      </c>
      <c r="C78" s="8">
        <v>84.642499999999998</v>
      </c>
      <c r="D78" s="3" t="s">
        <v>7</v>
      </c>
      <c r="E78" s="3">
        <v>2</v>
      </c>
      <c r="F78" s="8">
        <f t="shared" si="25"/>
        <v>1.75</v>
      </c>
      <c r="G78" s="3">
        <v>410.40199999999999</v>
      </c>
      <c r="H78" s="11">
        <f t="shared" si="32"/>
        <v>1.3810000000000002</v>
      </c>
      <c r="I78" s="11">
        <f t="shared" si="33"/>
        <v>1.2106000000000003</v>
      </c>
      <c r="J78" s="11">
        <f t="shared" si="34"/>
        <v>1.0126000000000004</v>
      </c>
      <c r="K78" s="11">
        <f t="shared" si="35"/>
        <v>0.80770000000000042</v>
      </c>
      <c r="L78" s="11">
        <f t="shared" si="36"/>
        <v>0.56830000000000047</v>
      </c>
      <c r="M78" s="11">
        <f t="shared" si="37"/>
        <v>1.75</v>
      </c>
      <c r="N78" s="11">
        <f t="shared" si="38"/>
        <v>1.75</v>
      </c>
      <c r="O78" s="11">
        <f t="shared" si="39"/>
        <v>1.75</v>
      </c>
      <c r="P78" s="11">
        <f t="shared" si="40"/>
        <v>1.75</v>
      </c>
      <c r="Q78" s="11">
        <f t="shared" si="41"/>
        <v>1.75</v>
      </c>
      <c r="R78" s="11">
        <f t="shared" si="42"/>
        <v>1.6219000000000001</v>
      </c>
      <c r="S78" s="11">
        <f t="shared" si="43"/>
        <v>1.5082000000000002</v>
      </c>
      <c r="T78" s="8" t="s">
        <v>83</v>
      </c>
      <c r="U78" s="27"/>
    </row>
    <row r="79" spans="1:21" x14ac:dyDescent="0.25">
      <c r="A79" s="8">
        <v>76</v>
      </c>
      <c r="B79" s="8">
        <v>20.337299999999999</v>
      </c>
      <c r="C79" s="8">
        <v>84.646199999999993</v>
      </c>
      <c r="D79" s="3" t="s">
        <v>7</v>
      </c>
      <c r="E79" s="3">
        <v>2</v>
      </c>
      <c r="F79" s="8">
        <f t="shared" si="25"/>
        <v>1.75</v>
      </c>
      <c r="G79" s="3">
        <v>130.62700000000001</v>
      </c>
      <c r="H79" s="11">
        <f t="shared" si="32"/>
        <v>1.3810000000000002</v>
      </c>
      <c r="I79" s="11">
        <f t="shared" si="33"/>
        <v>1.2106000000000003</v>
      </c>
      <c r="J79" s="11">
        <f t="shared" si="34"/>
        <v>1.0126000000000004</v>
      </c>
      <c r="K79" s="11">
        <f t="shared" si="35"/>
        <v>0.80770000000000042</v>
      </c>
      <c r="L79" s="11">
        <f t="shared" si="36"/>
        <v>0.56830000000000047</v>
      </c>
      <c r="M79" s="11">
        <f t="shared" si="37"/>
        <v>1.75</v>
      </c>
      <c r="N79" s="11">
        <f t="shared" si="38"/>
        <v>1.75</v>
      </c>
      <c r="O79" s="11">
        <f t="shared" si="39"/>
        <v>1.75</v>
      </c>
      <c r="P79" s="11">
        <f t="shared" si="40"/>
        <v>1.75</v>
      </c>
      <c r="Q79" s="11">
        <f t="shared" si="41"/>
        <v>1.75</v>
      </c>
      <c r="R79" s="11">
        <f t="shared" si="42"/>
        <v>1.6219000000000001</v>
      </c>
      <c r="S79" s="11">
        <f t="shared" si="43"/>
        <v>1.5082000000000002</v>
      </c>
      <c r="T79" s="8" t="s">
        <v>81</v>
      </c>
      <c r="U79" s="27"/>
    </row>
    <row r="80" spans="1:21" x14ac:dyDescent="0.25">
      <c r="A80" s="8">
        <v>77</v>
      </c>
      <c r="B80" s="8">
        <v>20.3368</v>
      </c>
      <c r="C80" s="8">
        <v>84.645600000000002</v>
      </c>
      <c r="D80" s="3" t="s">
        <v>7</v>
      </c>
      <c r="E80" s="3">
        <v>2</v>
      </c>
      <c r="F80" s="8">
        <f t="shared" si="25"/>
        <v>1.75</v>
      </c>
      <c r="G80" s="3">
        <v>123.34699999999999</v>
      </c>
      <c r="H80" s="11">
        <f t="shared" si="32"/>
        <v>1.3810000000000002</v>
      </c>
      <c r="I80" s="11">
        <f t="shared" si="33"/>
        <v>1.2106000000000003</v>
      </c>
      <c r="J80" s="11">
        <f t="shared" si="34"/>
        <v>1.0126000000000004</v>
      </c>
      <c r="K80" s="11">
        <f t="shared" si="35"/>
        <v>0.80770000000000042</v>
      </c>
      <c r="L80" s="11">
        <f t="shared" si="36"/>
        <v>0.56830000000000047</v>
      </c>
      <c r="M80" s="11">
        <f t="shared" si="37"/>
        <v>1.75</v>
      </c>
      <c r="N80" s="11">
        <f t="shared" si="38"/>
        <v>1.75</v>
      </c>
      <c r="O80" s="11">
        <f t="shared" si="39"/>
        <v>1.75</v>
      </c>
      <c r="P80" s="11">
        <f t="shared" si="40"/>
        <v>1.75</v>
      </c>
      <c r="Q80" s="11">
        <f t="shared" si="41"/>
        <v>1.75</v>
      </c>
      <c r="R80" s="11">
        <f t="shared" si="42"/>
        <v>1.6219000000000001</v>
      </c>
      <c r="S80" s="11">
        <f t="shared" si="43"/>
        <v>1.5082000000000002</v>
      </c>
      <c r="T80" s="8" t="s">
        <v>81</v>
      </c>
      <c r="U80" s="27"/>
    </row>
    <row r="81" spans="1:21" x14ac:dyDescent="0.25">
      <c r="A81" s="8">
        <v>78</v>
      </c>
      <c r="B81" s="8">
        <v>20.3368</v>
      </c>
      <c r="C81" s="8">
        <v>84.645200000000003</v>
      </c>
      <c r="D81" s="3" t="s">
        <v>7</v>
      </c>
      <c r="E81" s="3">
        <v>2</v>
      </c>
      <c r="F81" s="8">
        <f t="shared" si="25"/>
        <v>1.75</v>
      </c>
      <c r="G81" s="3">
        <v>228.95699999999999</v>
      </c>
      <c r="H81" s="11">
        <f t="shared" si="32"/>
        <v>1.3810000000000002</v>
      </c>
      <c r="I81" s="11">
        <f t="shared" si="33"/>
        <v>1.2106000000000003</v>
      </c>
      <c r="J81" s="11">
        <f t="shared" si="34"/>
        <v>1.0126000000000004</v>
      </c>
      <c r="K81" s="11">
        <f t="shared" si="35"/>
        <v>0.80770000000000042</v>
      </c>
      <c r="L81" s="11">
        <f t="shared" si="36"/>
        <v>0.56830000000000047</v>
      </c>
      <c r="M81" s="11">
        <f t="shared" si="37"/>
        <v>1.75</v>
      </c>
      <c r="N81" s="11">
        <f t="shared" si="38"/>
        <v>1.75</v>
      </c>
      <c r="O81" s="11">
        <f t="shared" si="39"/>
        <v>1.75</v>
      </c>
      <c r="P81" s="11">
        <f t="shared" si="40"/>
        <v>1.75</v>
      </c>
      <c r="Q81" s="11">
        <f t="shared" si="41"/>
        <v>1.75</v>
      </c>
      <c r="R81" s="11">
        <f t="shared" si="42"/>
        <v>1.6219000000000001</v>
      </c>
      <c r="S81" s="11">
        <f t="shared" si="43"/>
        <v>1.5082000000000002</v>
      </c>
      <c r="T81" s="8" t="s">
        <v>81</v>
      </c>
      <c r="U81" s="27"/>
    </row>
    <row r="82" spans="1:21" x14ac:dyDescent="0.25">
      <c r="A82" s="8">
        <v>79</v>
      </c>
      <c r="B82" s="8">
        <v>20.339600000000001</v>
      </c>
      <c r="C82" s="8">
        <v>84.634</v>
      </c>
      <c r="D82" s="3" t="s">
        <v>7</v>
      </c>
      <c r="E82" s="3">
        <v>3</v>
      </c>
      <c r="F82" s="8">
        <f t="shared" si="25"/>
        <v>2.75</v>
      </c>
      <c r="G82" s="3">
        <v>1194.037</v>
      </c>
      <c r="H82" s="11">
        <f t="shared" si="32"/>
        <v>2.3809999999999998</v>
      </c>
      <c r="I82" s="11">
        <f t="shared" si="33"/>
        <v>2.2105999999999999</v>
      </c>
      <c r="J82" s="11">
        <f t="shared" si="34"/>
        <v>2.0125999999999999</v>
      </c>
      <c r="K82" s="11">
        <f t="shared" si="35"/>
        <v>1.8076999999999999</v>
      </c>
      <c r="L82" s="11">
        <f t="shared" si="36"/>
        <v>1.5682999999999998</v>
      </c>
      <c r="M82" s="11">
        <f t="shared" si="37"/>
        <v>2.75</v>
      </c>
      <c r="N82" s="11">
        <f t="shared" si="38"/>
        <v>2.75</v>
      </c>
      <c r="O82" s="11">
        <f t="shared" si="39"/>
        <v>2.75</v>
      </c>
      <c r="P82" s="11">
        <f t="shared" si="40"/>
        <v>2.75</v>
      </c>
      <c r="Q82" s="11">
        <f t="shared" si="41"/>
        <v>2.75</v>
      </c>
      <c r="R82" s="11">
        <f t="shared" si="42"/>
        <v>2.6219000000000001</v>
      </c>
      <c r="S82" s="11">
        <f t="shared" si="43"/>
        <v>2.5082</v>
      </c>
      <c r="T82" s="8" t="s">
        <v>81</v>
      </c>
      <c r="U82" s="27"/>
    </row>
    <row r="83" spans="1:21" x14ac:dyDescent="0.25">
      <c r="A83" s="8">
        <v>80</v>
      </c>
      <c r="B83" s="8">
        <v>20.331099999999999</v>
      </c>
      <c r="C83" s="8">
        <v>84.620999999999995</v>
      </c>
      <c r="D83" s="3" t="s">
        <v>7</v>
      </c>
      <c r="E83" s="3">
        <v>2</v>
      </c>
      <c r="F83" s="8">
        <f t="shared" si="25"/>
        <v>1.75</v>
      </c>
      <c r="G83" s="3">
        <v>499.5</v>
      </c>
      <c r="H83" s="11">
        <f t="shared" si="32"/>
        <v>1.3810000000000002</v>
      </c>
      <c r="I83" s="11">
        <f t="shared" si="33"/>
        <v>1.2106000000000003</v>
      </c>
      <c r="J83" s="11">
        <f t="shared" si="34"/>
        <v>1.0126000000000004</v>
      </c>
      <c r="K83" s="11">
        <f t="shared" si="35"/>
        <v>0.80770000000000042</v>
      </c>
      <c r="L83" s="11">
        <f t="shared" si="36"/>
        <v>0.56830000000000047</v>
      </c>
      <c r="M83" s="11">
        <f t="shared" si="37"/>
        <v>1.75</v>
      </c>
      <c r="N83" s="11">
        <f t="shared" si="38"/>
        <v>1.75</v>
      </c>
      <c r="O83" s="11">
        <f t="shared" si="39"/>
        <v>1.75</v>
      </c>
      <c r="P83" s="11">
        <f t="shared" si="40"/>
        <v>1.75</v>
      </c>
      <c r="Q83" s="11">
        <f t="shared" si="41"/>
        <v>1.75</v>
      </c>
      <c r="R83" s="11">
        <f t="shared" si="42"/>
        <v>1.6219000000000001</v>
      </c>
      <c r="S83" s="11">
        <f t="shared" si="43"/>
        <v>1.5082000000000002</v>
      </c>
      <c r="T83" s="8" t="s">
        <v>81</v>
      </c>
      <c r="U83" s="27"/>
    </row>
    <row r="84" spans="1:21" x14ac:dyDescent="0.25">
      <c r="A84" s="8">
        <v>81</v>
      </c>
      <c r="B84" s="8">
        <v>20.332999999999998</v>
      </c>
      <c r="C84" s="8">
        <v>84.612899999999996</v>
      </c>
      <c r="D84" s="3" t="s">
        <v>7</v>
      </c>
      <c r="E84" s="3">
        <v>2</v>
      </c>
      <c r="F84" s="8">
        <f t="shared" si="25"/>
        <v>1.75</v>
      </c>
      <c r="G84" s="3">
        <v>626.18700000000001</v>
      </c>
      <c r="H84" s="11">
        <f t="shared" si="32"/>
        <v>1.3810000000000002</v>
      </c>
      <c r="I84" s="11">
        <f t="shared" si="33"/>
        <v>1.2106000000000003</v>
      </c>
      <c r="J84" s="11">
        <f t="shared" si="34"/>
        <v>1.0126000000000004</v>
      </c>
      <c r="K84" s="11">
        <f t="shared" si="35"/>
        <v>0.80770000000000042</v>
      </c>
      <c r="L84" s="11">
        <f t="shared" si="36"/>
        <v>0.56830000000000047</v>
      </c>
      <c r="M84" s="11">
        <f t="shared" si="37"/>
        <v>1.75</v>
      </c>
      <c r="N84" s="11">
        <f t="shared" si="38"/>
        <v>1.75</v>
      </c>
      <c r="O84" s="11">
        <f t="shared" si="39"/>
        <v>1.75</v>
      </c>
      <c r="P84" s="11">
        <f t="shared" si="40"/>
        <v>1.75</v>
      </c>
      <c r="Q84" s="11">
        <f t="shared" si="41"/>
        <v>1.75</v>
      </c>
      <c r="R84" s="11">
        <f t="shared" si="42"/>
        <v>1.6219000000000001</v>
      </c>
      <c r="S84" s="11">
        <f t="shared" si="43"/>
        <v>1.5082000000000002</v>
      </c>
      <c r="T84" s="8" t="s">
        <v>81</v>
      </c>
      <c r="U84" s="27"/>
    </row>
    <row r="85" spans="1:21" x14ac:dyDescent="0.25">
      <c r="A85" s="8">
        <v>82</v>
      </c>
      <c r="B85" s="8">
        <v>20.323599999999999</v>
      </c>
      <c r="C85" s="8">
        <v>84.608800000000002</v>
      </c>
      <c r="D85" s="3" t="s">
        <v>7</v>
      </c>
      <c r="E85" s="3">
        <v>3</v>
      </c>
      <c r="F85" s="8">
        <f t="shared" si="25"/>
        <v>2.75</v>
      </c>
      <c r="G85" s="3">
        <v>594.697</v>
      </c>
      <c r="H85" s="11">
        <f t="shared" si="32"/>
        <v>2.3809999999999998</v>
      </c>
      <c r="I85" s="11">
        <f t="shared" si="33"/>
        <v>2.2105999999999999</v>
      </c>
      <c r="J85" s="11">
        <f t="shared" si="34"/>
        <v>2.0125999999999999</v>
      </c>
      <c r="K85" s="11">
        <f t="shared" si="35"/>
        <v>1.8076999999999999</v>
      </c>
      <c r="L85" s="11">
        <f t="shared" si="36"/>
        <v>1.5682999999999998</v>
      </c>
      <c r="M85" s="11">
        <f t="shared" si="37"/>
        <v>2.75</v>
      </c>
      <c r="N85" s="11">
        <f t="shared" si="38"/>
        <v>2.75</v>
      </c>
      <c r="O85" s="11">
        <f t="shared" si="39"/>
        <v>2.75</v>
      </c>
      <c r="P85" s="11">
        <f t="shared" si="40"/>
        <v>2.75</v>
      </c>
      <c r="Q85" s="11">
        <f t="shared" si="41"/>
        <v>2.75</v>
      </c>
      <c r="R85" s="11">
        <f t="shared" si="42"/>
        <v>2.6219000000000001</v>
      </c>
      <c r="S85" s="11">
        <f t="shared" si="43"/>
        <v>2.5082</v>
      </c>
      <c r="T85" s="8" t="s">
        <v>81</v>
      </c>
      <c r="U85" s="27"/>
    </row>
    <row r="86" spans="1:21" x14ac:dyDescent="0.25">
      <c r="A86" s="8">
        <v>83</v>
      </c>
      <c r="B86" s="8">
        <v>20.322600000000001</v>
      </c>
      <c r="C86" s="8">
        <v>84.604399999999998</v>
      </c>
      <c r="D86" s="3" t="s">
        <v>7</v>
      </c>
      <c r="E86" s="3">
        <v>3</v>
      </c>
      <c r="F86" s="8">
        <f t="shared" si="25"/>
        <v>2.75</v>
      </c>
      <c r="G86" s="3">
        <v>494.19299999999998</v>
      </c>
      <c r="H86" s="11">
        <f t="shared" si="32"/>
        <v>2.3809999999999998</v>
      </c>
      <c r="I86" s="11">
        <f t="shared" si="33"/>
        <v>2.2105999999999999</v>
      </c>
      <c r="J86" s="11">
        <f t="shared" si="34"/>
        <v>2.0125999999999999</v>
      </c>
      <c r="K86" s="11">
        <f t="shared" si="35"/>
        <v>1.8076999999999999</v>
      </c>
      <c r="L86" s="11">
        <f t="shared" si="36"/>
        <v>1.5682999999999998</v>
      </c>
      <c r="M86" s="11">
        <f t="shared" si="37"/>
        <v>2.75</v>
      </c>
      <c r="N86" s="11">
        <f t="shared" si="38"/>
        <v>2.75</v>
      </c>
      <c r="O86" s="11">
        <f t="shared" si="39"/>
        <v>2.75</v>
      </c>
      <c r="P86" s="11">
        <f t="shared" si="40"/>
        <v>2.75</v>
      </c>
      <c r="Q86" s="11">
        <f t="shared" si="41"/>
        <v>2.75</v>
      </c>
      <c r="R86" s="11">
        <f t="shared" si="42"/>
        <v>2.6219000000000001</v>
      </c>
      <c r="S86" s="11">
        <f t="shared" si="43"/>
        <v>2.5082</v>
      </c>
      <c r="T86" s="8" t="s">
        <v>81</v>
      </c>
      <c r="U86" s="27"/>
    </row>
    <row r="87" spans="1:21" x14ac:dyDescent="0.25">
      <c r="A87" s="8">
        <v>84</v>
      </c>
      <c r="B87" s="8">
        <v>20.312000000000001</v>
      </c>
      <c r="C87" s="8">
        <v>84.654499999999999</v>
      </c>
      <c r="D87" s="3" t="s">
        <v>7</v>
      </c>
      <c r="E87" s="3">
        <v>4</v>
      </c>
      <c r="F87" s="8">
        <f t="shared" si="25"/>
        <v>3.75</v>
      </c>
      <c r="G87" s="3">
        <v>2656.39</v>
      </c>
      <c r="H87" s="11">
        <f t="shared" si="32"/>
        <v>3.3809999999999998</v>
      </c>
      <c r="I87" s="11">
        <f t="shared" si="33"/>
        <v>3.2105999999999999</v>
      </c>
      <c r="J87" s="11">
        <f t="shared" si="34"/>
        <v>3.0125999999999999</v>
      </c>
      <c r="K87" s="11">
        <f t="shared" si="35"/>
        <v>2.8077000000000001</v>
      </c>
      <c r="L87" s="11">
        <f t="shared" si="36"/>
        <v>2.5683000000000002</v>
      </c>
      <c r="M87" s="11">
        <f t="shared" si="37"/>
        <v>3.75</v>
      </c>
      <c r="N87" s="11">
        <f t="shared" si="38"/>
        <v>3.75</v>
      </c>
      <c r="O87" s="11">
        <f t="shared" si="39"/>
        <v>3.75</v>
      </c>
      <c r="P87" s="11">
        <f t="shared" si="40"/>
        <v>3.75</v>
      </c>
      <c r="Q87" s="11">
        <f t="shared" si="41"/>
        <v>3.75</v>
      </c>
      <c r="R87" s="11">
        <f t="shared" si="42"/>
        <v>3.6219000000000001</v>
      </c>
      <c r="S87" s="11">
        <f t="shared" si="43"/>
        <v>3.5082</v>
      </c>
      <c r="T87" s="8" t="s">
        <v>91</v>
      </c>
      <c r="U87" s="27"/>
    </row>
    <row r="88" spans="1:21" x14ac:dyDescent="0.25">
      <c r="A88" s="8">
        <v>85</v>
      </c>
      <c r="B88" s="8">
        <v>20.314800000000002</v>
      </c>
      <c r="C88" s="8">
        <v>84.656800000000004</v>
      </c>
      <c r="D88" s="3" t="s">
        <v>7</v>
      </c>
      <c r="E88" s="3">
        <v>4</v>
      </c>
      <c r="F88" s="8">
        <f t="shared" si="25"/>
        <v>3.75</v>
      </c>
      <c r="G88" s="3">
        <v>2304.8789999999999</v>
      </c>
      <c r="H88" s="11">
        <f t="shared" si="32"/>
        <v>3.3809999999999998</v>
      </c>
      <c r="I88" s="11">
        <f t="shared" si="33"/>
        <v>3.2105999999999999</v>
      </c>
      <c r="J88" s="11">
        <f t="shared" si="34"/>
        <v>3.0125999999999999</v>
      </c>
      <c r="K88" s="11">
        <f t="shared" si="35"/>
        <v>2.8077000000000001</v>
      </c>
      <c r="L88" s="11">
        <f t="shared" si="36"/>
        <v>2.5683000000000002</v>
      </c>
      <c r="M88" s="11">
        <f t="shared" si="37"/>
        <v>3.75</v>
      </c>
      <c r="N88" s="11">
        <f t="shared" si="38"/>
        <v>3.75</v>
      </c>
      <c r="O88" s="11">
        <f t="shared" si="39"/>
        <v>3.75</v>
      </c>
      <c r="P88" s="11">
        <f t="shared" si="40"/>
        <v>3.75</v>
      </c>
      <c r="Q88" s="11">
        <f t="shared" si="41"/>
        <v>3.75</v>
      </c>
      <c r="R88" s="11">
        <f t="shared" si="42"/>
        <v>3.6219000000000001</v>
      </c>
      <c r="S88" s="11">
        <f t="shared" si="43"/>
        <v>3.5082</v>
      </c>
      <c r="T88" s="8" t="s">
        <v>91</v>
      </c>
      <c r="U88" s="27"/>
    </row>
    <row r="89" spans="1:21" x14ac:dyDescent="0.25">
      <c r="A89" s="8">
        <v>86</v>
      </c>
      <c r="B89" s="8">
        <v>20.319400000000002</v>
      </c>
      <c r="C89" s="8">
        <v>84.658500000000004</v>
      </c>
      <c r="D89" s="3" t="s">
        <v>7</v>
      </c>
      <c r="E89" s="3">
        <v>2</v>
      </c>
      <c r="F89" s="8">
        <f t="shared" si="25"/>
        <v>1.75</v>
      </c>
      <c r="G89" s="3">
        <v>1020.664</v>
      </c>
      <c r="H89" s="11">
        <f t="shared" si="32"/>
        <v>1.3810000000000002</v>
      </c>
      <c r="I89" s="11">
        <f t="shared" si="33"/>
        <v>1.2106000000000003</v>
      </c>
      <c r="J89" s="11">
        <f t="shared" si="34"/>
        <v>1.0126000000000004</v>
      </c>
      <c r="K89" s="11">
        <f t="shared" si="35"/>
        <v>0.80770000000000042</v>
      </c>
      <c r="L89" s="11">
        <f t="shared" si="36"/>
        <v>0.56830000000000047</v>
      </c>
      <c r="M89" s="11">
        <f t="shared" si="37"/>
        <v>1.75</v>
      </c>
      <c r="N89" s="11">
        <f t="shared" si="38"/>
        <v>1.75</v>
      </c>
      <c r="O89" s="11">
        <f t="shared" si="39"/>
        <v>1.75</v>
      </c>
      <c r="P89" s="11">
        <f t="shared" si="40"/>
        <v>1.75</v>
      </c>
      <c r="Q89" s="11">
        <f t="shared" si="41"/>
        <v>1.75</v>
      </c>
      <c r="R89" s="11">
        <f t="shared" si="42"/>
        <v>1.6219000000000001</v>
      </c>
      <c r="S89" s="11">
        <f t="shared" si="43"/>
        <v>1.5082000000000002</v>
      </c>
      <c r="T89" s="8" t="s">
        <v>91</v>
      </c>
      <c r="U89" s="27"/>
    </row>
    <row r="90" spans="1:21" x14ac:dyDescent="0.25">
      <c r="A90" s="8">
        <v>87</v>
      </c>
      <c r="B90" s="8">
        <v>20.319099999999999</v>
      </c>
      <c r="C90" s="8">
        <v>84.657899999999998</v>
      </c>
      <c r="D90" s="3" t="s">
        <v>7</v>
      </c>
      <c r="E90" s="3">
        <v>2</v>
      </c>
      <c r="F90" s="8">
        <f t="shared" si="25"/>
        <v>1.75</v>
      </c>
      <c r="G90" s="3">
        <v>622.09400000000005</v>
      </c>
      <c r="H90" s="11">
        <f t="shared" si="32"/>
        <v>1.3810000000000002</v>
      </c>
      <c r="I90" s="11">
        <f t="shared" si="33"/>
        <v>1.2106000000000003</v>
      </c>
      <c r="J90" s="11">
        <f t="shared" si="34"/>
        <v>1.0126000000000004</v>
      </c>
      <c r="K90" s="11">
        <f t="shared" si="35"/>
        <v>0.80770000000000042</v>
      </c>
      <c r="L90" s="11">
        <f t="shared" si="36"/>
        <v>0.56830000000000047</v>
      </c>
      <c r="M90" s="11">
        <f t="shared" si="37"/>
        <v>1.75</v>
      </c>
      <c r="N90" s="11">
        <f t="shared" si="38"/>
        <v>1.75</v>
      </c>
      <c r="O90" s="11">
        <f t="shared" si="39"/>
        <v>1.75</v>
      </c>
      <c r="P90" s="11">
        <f t="shared" si="40"/>
        <v>1.75</v>
      </c>
      <c r="Q90" s="11">
        <f t="shared" si="41"/>
        <v>1.75</v>
      </c>
      <c r="R90" s="11">
        <f t="shared" si="42"/>
        <v>1.6219000000000001</v>
      </c>
      <c r="S90" s="11">
        <f t="shared" si="43"/>
        <v>1.5082000000000002</v>
      </c>
      <c r="T90" s="8" t="s">
        <v>91</v>
      </c>
      <c r="U90" s="27"/>
    </row>
    <row r="91" spans="1:21" x14ac:dyDescent="0.25">
      <c r="A91" s="8">
        <v>88</v>
      </c>
      <c r="B91" s="8">
        <v>20.315000000000001</v>
      </c>
      <c r="C91" s="8">
        <v>84.658500000000004</v>
      </c>
      <c r="D91" s="3" t="s">
        <v>7</v>
      </c>
      <c r="E91" s="3">
        <v>3</v>
      </c>
      <c r="F91" s="8">
        <f t="shared" si="25"/>
        <v>2.75</v>
      </c>
      <c r="G91" s="3">
        <v>600.35</v>
      </c>
      <c r="H91" s="11">
        <f t="shared" si="32"/>
        <v>2.3809999999999998</v>
      </c>
      <c r="I91" s="11">
        <f t="shared" si="33"/>
        <v>2.2105999999999999</v>
      </c>
      <c r="J91" s="11">
        <f t="shared" si="34"/>
        <v>2.0125999999999999</v>
      </c>
      <c r="K91" s="11">
        <f t="shared" si="35"/>
        <v>1.8076999999999999</v>
      </c>
      <c r="L91" s="11">
        <f t="shared" si="36"/>
        <v>1.5682999999999998</v>
      </c>
      <c r="M91" s="11">
        <f t="shared" si="37"/>
        <v>2.75</v>
      </c>
      <c r="N91" s="11">
        <f t="shared" si="38"/>
        <v>2.75</v>
      </c>
      <c r="O91" s="11">
        <f t="shared" si="39"/>
        <v>2.75</v>
      </c>
      <c r="P91" s="11">
        <f t="shared" si="40"/>
        <v>2.75</v>
      </c>
      <c r="Q91" s="11">
        <f t="shared" si="41"/>
        <v>2.75</v>
      </c>
      <c r="R91" s="11">
        <f t="shared" si="42"/>
        <v>2.6219000000000001</v>
      </c>
      <c r="S91" s="11">
        <f t="shared" si="43"/>
        <v>2.5082</v>
      </c>
      <c r="T91" s="8" t="s">
        <v>91</v>
      </c>
      <c r="U91" s="27"/>
    </row>
    <row r="92" spans="1:21" x14ac:dyDescent="0.25">
      <c r="A92" s="8">
        <v>89</v>
      </c>
      <c r="B92" s="8">
        <v>20.323399999999999</v>
      </c>
      <c r="C92" s="8">
        <v>84.659899999999993</v>
      </c>
      <c r="D92" s="3" t="s">
        <v>7</v>
      </c>
      <c r="E92" s="3">
        <v>3</v>
      </c>
      <c r="F92" s="8">
        <f t="shared" si="25"/>
        <v>2.75</v>
      </c>
      <c r="G92" s="3">
        <v>1934.809</v>
      </c>
      <c r="H92" s="11">
        <f t="shared" si="32"/>
        <v>2.3809999999999998</v>
      </c>
      <c r="I92" s="11">
        <f t="shared" si="33"/>
        <v>2.2105999999999999</v>
      </c>
      <c r="J92" s="11">
        <f t="shared" si="34"/>
        <v>2.0125999999999999</v>
      </c>
      <c r="K92" s="11">
        <f t="shared" si="35"/>
        <v>1.8076999999999999</v>
      </c>
      <c r="L92" s="11">
        <f t="shared" si="36"/>
        <v>1.5682999999999998</v>
      </c>
      <c r="M92" s="11">
        <f t="shared" si="37"/>
        <v>2.75</v>
      </c>
      <c r="N92" s="11">
        <f t="shared" si="38"/>
        <v>2.75</v>
      </c>
      <c r="O92" s="11">
        <f t="shared" si="39"/>
        <v>2.75</v>
      </c>
      <c r="P92" s="11">
        <f t="shared" si="40"/>
        <v>2.75</v>
      </c>
      <c r="Q92" s="11">
        <f t="shared" si="41"/>
        <v>2.75</v>
      </c>
      <c r="R92" s="11">
        <f t="shared" si="42"/>
        <v>2.6219000000000001</v>
      </c>
      <c r="S92" s="11">
        <f t="shared" si="43"/>
        <v>2.5082</v>
      </c>
      <c r="T92" s="8" t="s">
        <v>91</v>
      </c>
      <c r="U92" s="27"/>
    </row>
    <row r="93" spans="1:21" x14ac:dyDescent="0.25">
      <c r="A93" s="8">
        <v>90</v>
      </c>
      <c r="B93" s="8">
        <v>20.3247</v>
      </c>
      <c r="C93" s="8">
        <v>84.659199999999998</v>
      </c>
      <c r="D93" s="3" t="s">
        <v>7</v>
      </c>
      <c r="E93" s="3">
        <v>3</v>
      </c>
      <c r="F93" s="8">
        <f t="shared" si="25"/>
        <v>2.75</v>
      </c>
      <c r="G93" s="3">
        <v>794.23699999999997</v>
      </c>
      <c r="H93" s="11">
        <f t="shared" si="32"/>
        <v>2.3809999999999998</v>
      </c>
      <c r="I93" s="11">
        <f t="shared" si="33"/>
        <v>2.2105999999999999</v>
      </c>
      <c r="J93" s="11">
        <f t="shared" si="34"/>
        <v>2.0125999999999999</v>
      </c>
      <c r="K93" s="11">
        <f t="shared" si="35"/>
        <v>1.8076999999999999</v>
      </c>
      <c r="L93" s="11">
        <f t="shared" si="36"/>
        <v>1.5682999999999998</v>
      </c>
      <c r="M93" s="11">
        <f t="shared" si="37"/>
        <v>2.75</v>
      </c>
      <c r="N93" s="11">
        <f t="shared" si="38"/>
        <v>2.75</v>
      </c>
      <c r="O93" s="11">
        <f t="shared" si="39"/>
        <v>2.75</v>
      </c>
      <c r="P93" s="11">
        <f t="shared" si="40"/>
        <v>2.75</v>
      </c>
      <c r="Q93" s="11">
        <f t="shared" si="41"/>
        <v>2.75</v>
      </c>
      <c r="R93" s="11">
        <f t="shared" si="42"/>
        <v>2.6219000000000001</v>
      </c>
      <c r="S93" s="11">
        <f t="shared" si="43"/>
        <v>2.5082</v>
      </c>
      <c r="T93" s="8" t="s">
        <v>91</v>
      </c>
      <c r="U93" s="27"/>
    </row>
    <row r="94" spans="1:21" x14ac:dyDescent="0.25">
      <c r="A94" s="8">
        <v>91</v>
      </c>
      <c r="B94" s="8">
        <v>20.3245</v>
      </c>
      <c r="C94" s="8">
        <v>84.6631</v>
      </c>
      <c r="D94" s="3" t="s">
        <v>7</v>
      </c>
      <c r="E94" s="3">
        <v>3</v>
      </c>
      <c r="F94" s="8">
        <f t="shared" si="25"/>
        <v>2.75</v>
      </c>
      <c r="G94" s="3">
        <v>2169.5700000000002</v>
      </c>
      <c r="H94" s="11">
        <f t="shared" si="32"/>
        <v>2.3809999999999998</v>
      </c>
      <c r="I94" s="11">
        <f t="shared" si="33"/>
        <v>2.2105999999999999</v>
      </c>
      <c r="J94" s="11">
        <f t="shared" si="34"/>
        <v>2.0125999999999999</v>
      </c>
      <c r="K94" s="11">
        <f t="shared" si="35"/>
        <v>1.8076999999999999</v>
      </c>
      <c r="L94" s="11">
        <f t="shared" si="36"/>
        <v>1.5682999999999998</v>
      </c>
      <c r="M94" s="11">
        <f t="shared" si="37"/>
        <v>2.75</v>
      </c>
      <c r="N94" s="11">
        <f t="shared" si="38"/>
        <v>2.75</v>
      </c>
      <c r="O94" s="11">
        <f t="shared" si="39"/>
        <v>2.75</v>
      </c>
      <c r="P94" s="11">
        <f t="shared" si="40"/>
        <v>2.75</v>
      </c>
      <c r="Q94" s="11">
        <f t="shared" si="41"/>
        <v>2.75</v>
      </c>
      <c r="R94" s="11">
        <f t="shared" si="42"/>
        <v>2.6219000000000001</v>
      </c>
      <c r="S94" s="11">
        <f t="shared" si="43"/>
        <v>2.5082</v>
      </c>
      <c r="T94" s="8" t="s">
        <v>91</v>
      </c>
      <c r="U94" s="27"/>
    </row>
    <row r="95" spans="1:21" x14ac:dyDescent="0.25">
      <c r="A95" s="8">
        <v>92</v>
      </c>
      <c r="B95" s="8">
        <v>20.319500000000001</v>
      </c>
      <c r="C95" s="8">
        <v>84.662800000000004</v>
      </c>
      <c r="D95" s="3" t="s">
        <v>7</v>
      </c>
      <c r="E95" s="3">
        <v>5</v>
      </c>
      <c r="F95" s="8">
        <f t="shared" si="25"/>
        <v>4.75</v>
      </c>
      <c r="G95" s="3">
        <v>4423.6080000000002</v>
      </c>
      <c r="H95" s="11">
        <f t="shared" si="32"/>
        <v>4.3810000000000002</v>
      </c>
      <c r="I95" s="11">
        <f t="shared" si="33"/>
        <v>4.2106000000000003</v>
      </c>
      <c r="J95" s="11">
        <f t="shared" si="34"/>
        <v>4.0125999999999999</v>
      </c>
      <c r="K95" s="11">
        <f t="shared" si="35"/>
        <v>3.8077000000000001</v>
      </c>
      <c r="L95" s="11">
        <f t="shared" si="36"/>
        <v>3.5683000000000002</v>
      </c>
      <c r="M95" s="11">
        <f t="shared" si="37"/>
        <v>4.75</v>
      </c>
      <c r="N95" s="11">
        <f t="shared" si="38"/>
        <v>4.75</v>
      </c>
      <c r="O95" s="11">
        <f t="shared" si="39"/>
        <v>4.75</v>
      </c>
      <c r="P95" s="11">
        <f t="shared" si="40"/>
        <v>4.75</v>
      </c>
      <c r="Q95" s="11">
        <f t="shared" si="41"/>
        <v>4.75</v>
      </c>
      <c r="R95" s="11">
        <f t="shared" si="42"/>
        <v>4.6219000000000001</v>
      </c>
      <c r="S95" s="11">
        <f t="shared" si="43"/>
        <v>4.5082000000000004</v>
      </c>
      <c r="T95" s="8" t="s">
        <v>91</v>
      </c>
      <c r="U95" s="27"/>
    </row>
    <row r="96" spans="1:21" x14ac:dyDescent="0.25">
      <c r="A96" s="8">
        <v>93</v>
      </c>
      <c r="B96" s="8">
        <v>20.321999999999999</v>
      </c>
      <c r="C96" s="8">
        <v>84.661500000000004</v>
      </c>
      <c r="D96" s="3" t="s">
        <v>7</v>
      </c>
      <c r="E96" s="3">
        <v>4</v>
      </c>
      <c r="F96" s="8">
        <f t="shared" si="25"/>
        <v>3.75</v>
      </c>
      <c r="G96" s="3">
        <v>961.45500000000004</v>
      </c>
      <c r="H96" s="11">
        <f t="shared" si="32"/>
        <v>3.3809999999999998</v>
      </c>
      <c r="I96" s="11">
        <f t="shared" si="33"/>
        <v>3.2105999999999999</v>
      </c>
      <c r="J96" s="11">
        <f t="shared" si="34"/>
        <v>3.0125999999999999</v>
      </c>
      <c r="K96" s="11">
        <f t="shared" si="35"/>
        <v>2.8077000000000001</v>
      </c>
      <c r="L96" s="11">
        <f t="shared" si="36"/>
        <v>2.5683000000000002</v>
      </c>
      <c r="M96" s="11">
        <f t="shared" si="37"/>
        <v>3.75</v>
      </c>
      <c r="N96" s="11">
        <f t="shared" si="38"/>
        <v>3.75</v>
      </c>
      <c r="O96" s="11">
        <f t="shared" si="39"/>
        <v>3.75</v>
      </c>
      <c r="P96" s="11">
        <f t="shared" si="40"/>
        <v>3.75</v>
      </c>
      <c r="Q96" s="11">
        <f t="shared" si="41"/>
        <v>3.75</v>
      </c>
      <c r="R96" s="11">
        <f t="shared" si="42"/>
        <v>3.6219000000000001</v>
      </c>
      <c r="S96" s="11">
        <f t="shared" si="43"/>
        <v>3.5082</v>
      </c>
      <c r="T96" s="8" t="s">
        <v>91</v>
      </c>
      <c r="U96" s="27"/>
    </row>
    <row r="97" spans="1:21" x14ac:dyDescent="0.25">
      <c r="A97" s="8">
        <v>94</v>
      </c>
      <c r="B97" s="8">
        <v>20.3475</v>
      </c>
      <c r="C97" s="8">
        <v>84.653999999999996</v>
      </c>
      <c r="D97" s="3" t="s">
        <v>7</v>
      </c>
      <c r="E97" s="3">
        <v>3</v>
      </c>
      <c r="F97" s="8">
        <f t="shared" si="25"/>
        <v>2.75</v>
      </c>
      <c r="G97" s="3">
        <v>2185.7629999999999</v>
      </c>
      <c r="H97" s="11">
        <f t="shared" si="32"/>
        <v>2.3809999999999998</v>
      </c>
      <c r="I97" s="11">
        <f t="shared" si="33"/>
        <v>2.2105999999999999</v>
      </c>
      <c r="J97" s="11">
        <f t="shared" si="34"/>
        <v>2.0125999999999999</v>
      </c>
      <c r="K97" s="11">
        <f t="shared" si="35"/>
        <v>1.8076999999999999</v>
      </c>
      <c r="L97" s="11">
        <f t="shared" si="36"/>
        <v>1.5682999999999998</v>
      </c>
      <c r="M97" s="11">
        <f t="shared" si="37"/>
        <v>2.75</v>
      </c>
      <c r="N97" s="11">
        <f t="shared" si="38"/>
        <v>2.75</v>
      </c>
      <c r="O97" s="11">
        <f t="shared" si="39"/>
        <v>2.75</v>
      </c>
      <c r="P97" s="11">
        <f t="shared" si="40"/>
        <v>2.75</v>
      </c>
      <c r="Q97" s="11">
        <f t="shared" si="41"/>
        <v>2.75</v>
      </c>
      <c r="R97" s="11">
        <f t="shared" si="42"/>
        <v>2.6219000000000001</v>
      </c>
      <c r="S97" s="11">
        <f t="shared" si="43"/>
        <v>2.5082</v>
      </c>
      <c r="T97" s="8" t="s">
        <v>91</v>
      </c>
      <c r="U97" s="27"/>
    </row>
    <row r="98" spans="1:21" x14ac:dyDescent="0.25">
      <c r="A98" s="8">
        <v>95</v>
      </c>
      <c r="B98" s="8">
        <v>20.325399999999998</v>
      </c>
      <c r="C98" s="8">
        <v>84.552199999999999</v>
      </c>
      <c r="D98" s="3" t="s">
        <v>7</v>
      </c>
      <c r="E98" s="3">
        <v>2</v>
      </c>
      <c r="F98" s="8">
        <f t="shared" si="25"/>
        <v>1.75</v>
      </c>
      <c r="G98" s="3">
        <v>521.74199999999996</v>
      </c>
      <c r="H98" s="11">
        <f t="shared" si="32"/>
        <v>1.3810000000000002</v>
      </c>
      <c r="I98" s="11">
        <f t="shared" si="33"/>
        <v>1.2106000000000003</v>
      </c>
      <c r="J98" s="11">
        <f t="shared" si="34"/>
        <v>1.0126000000000004</v>
      </c>
      <c r="K98" s="11">
        <f t="shared" si="35"/>
        <v>0.80770000000000042</v>
      </c>
      <c r="L98" s="11">
        <f t="shared" si="36"/>
        <v>0.56830000000000047</v>
      </c>
      <c r="M98" s="11">
        <f t="shared" si="37"/>
        <v>1.75</v>
      </c>
      <c r="N98" s="11">
        <f t="shared" si="38"/>
        <v>1.75</v>
      </c>
      <c r="O98" s="11">
        <f t="shared" si="39"/>
        <v>1.75</v>
      </c>
      <c r="P98" s="11">
        <f t="shared" si="40"/>
        <v>1.75</v>
      </c>
      <c r="Q98" s="11">
        <f t="shared" si="41"/>
        <v>1.75</v>
      </c>
      <c r="R98" s="11">
        <f t="shared" si="42"/>
        <v>1.6219000000000001</v>
      </c>
      <c r="S98" s="11">
        <f t="shared" si="43"/>
        <v>1.5082000000000002</v>
      </c>
      <c r="T98" s="8" t="s">
        <v>90</v>
      </c>
      <c r="U98" s="27"/>
    </row>
    <row r="99" spans="1:21" x14ac:dyDescent="0.25">
      <c r="A99" s="8">
        <v>96</v>
      </c>
      <c r="B99" s="8">
        <v>20.322399999999998</v>
      </c>
      <c r="C99" s="8">
        <v>84.527600000000007</v>
      </c>
      <c r="D99" s="3" t="s">
        <v>7</v>
      </c>
      <c r="E99" s="3">
        <v>4</v>
      </c>
      <c r="F99" s="8">
        <f t="shared" ref="F99:F130" si="44">E99-$Z$21</f>
        <v>3.75</v>
      </c>
      <c r="G99" s="3">
        <v>715.22400000000005</v>
      </c>
      <c r="H99" s="11">
        <f t="shared" si="32"/>
        <v>3.3809999999999998</v>
      </c>
      <c r="I99" s="11">
        <f t="shared" si="33"/>
        <v>3.2105999999999999</v>
      </c>
      <c r="J99" s="11">
        <f t="shared" si="34"/>
        <v>3.0125999999999999</v>
      </c>
      <c r="K99" s="11">
        <f t="shared" si="35"/>
        <v>2.8077000000000001</v>
      </c>
      <c r="L99" s="11">
        <f t="shared" si="36"/>
        <v>2.5683000000000002</v>
      </c>
      <c r="M99" s="11">
        <f t="shared" si="37"/>
        <v>3.75</v>
      </c>
      <c r="N99" s="11">
        <f t="shared" si="38"/>
        <v>3.75</v>
      </c>
      <c r="O99" s="11">
        <f t="shared" si="39"/>
        <v>3.75</v>
      </c>
      <c r="P99" s="11">
        <f t="shared" si="40"/>
        <v>3.75</v>
      </c>
      <c r="Q99" s="11">
        <f t="shared" si="41"/>
        <v>3.75</v>
      </c>
      <c r="R99" s="11">
        <f t="shared" si="42"/>
        <v>3.6219000000000001</v>
      </c>
      <c r="S99" s="11">
        <f t="shared" si="43"/>
        <v>3.5082</v>
      </c>
      <c r="T99" s="8" t="s">
        <v>79</v>
      </c>
      <c r="U99" s="27"/>
    </row>
    <row r="100" spans="1:21" x14ac:dyDescent="0.25">
      <c r="A100" s="8">
        <v>97</v>
      </c>
      <c r="B100" s="8">
        <v>20.3248</v>
      </c>
      <c r="C100" s="8">
        <v>84.5334</v>
      </c>
      <c r="D100" s="3" t="s">
        <v>7</v>
      </c>
      <c r="E100" s="3">
        <v>2</v>
      </c>
      <c r="F100" s="8">
        <f t="shared" si="44"/>
        <v>1.75</v>
      </c>
      <c r="G100" s="3">
        <v>535.79899999999998</v>
      </c>
      <c r="H100" s="11">
        <f t="shared" si="32"/>
        <v>1.3810000000000002</v>
      </c>
      <c r="I100" s="11">
        <f t="shared" si="33"/>
        <v>1.2106000000000003</v>
      </c>
      <c r="J100" s="11">
        <f t="shared" si="34"/>
        <v>1.0126000000000004</v>
      </c>
      <c r="K100" s="11">
        <f t="shared" si="35"/>
        <v>0.80770000000000042</v>
      </c>
      <c r="L100" s="11">
        <f t="shared" si="36"/>
        <v>0.56830000000000047</v>
      </c>
      <c r="M100" s="11">
        <f t="shared" si="37"/>
        <v>1.75</v>
      </c>
      <c r="N100" s="11">
        <f t="shared" si="38"/>
        <v>1.75</v>
      </c>
      <c r="O100" s="11">
        <f t="shared" si="39"/>
        <v>1.75</v>
      </c>
      <c r="P100" s="11">
        <f t="shared" si="40"/>
        <v>1.75</v>
      </c>
      <c r="Q100" s="11">
        <f t="shared" si="41"/>
        <v>1.75</v>
      </c>
      <c r="R100" s="11">
        <f t="shared" si="42"/>
        <v>1.6219000000000001</v>
      </c>
      <c r="S100" s="11">
        <f t="shared" si="43"/>
        <v>1.5082000000000002</v>
      </c>
      <c r="T100" s="8" t="s">
        <v>84</v>
      </c>
      <c r="U100" s="27"/>
    </row>
    <row r="101" spans="1:21" x14ac:dyDescent="0.25">
      <c r="A101" s="8">
        <v>98</v>
      </c>
      <c r="B101" s="8">
        <v>20.331600000000002</v>
      </c>
      <c r="C101" s="8">
        <v>84.525999999999996</v>
      </c>
      <c r="D101" s="3" t="s">
        <v>7</v>
      </c>
      <c r="E101" s="3">
        <v>2</v>
      </c>
      <c r="F101" s="8">
        <f t="shared" si="44"/>
        <v>1.75</v>
      </c>
      <c r="G101" s="3">
        <v>426.30900000000003</v>
      </c>
      <c r="H101" s="11">
        <f t="shared" si="32"/>
        <v>1.3810000000000002</v>
      </c>
      <c r="I101" s="11">
        <f t="shared" si="33"/>
        <v>1.2106000000000003</v>
      </c>
      <c r="J101" s="11">
        <f t="shared" si="34"/>
        <v>1.0126000000000004</v>
      </c>
      <c r="K101" s="11">
        <f t="shared" si="35"/>
        <v>0.80770000000000042</v>
      </c>
      <c r="L101" s="11">
        <f t="shared" si="36"/>
        <v>0.56830000000000047</v>
      </c>
      <c r="M101" s="11">
        <f t="shared" si="37"/>
        <v>1.75</v>
      </c>
      <c r="N101" s="11">
        <f t="shared" si="38"/>
        <v>1.75</v>
      </c>
      <c r="O101" s="11">
        <f t="shared" si="39"/>
        <v>1.75</v>
      </c>
      <c r="P101" s="11">
        <f t="shared" si="40"/>
        <v>1.75</v>
      </c>
      <c r="Q101" s="11">
        <f t="shared" si="41"/>
        <v>1.75</v>
      </c>
      <c r="R101" s="11">
        <f t="shared" si="42"/>
        <v>1.6219000000000001</v>
      </c>
      <c r="S101" s="11">
        <f t="shared" si="43"/>
        <v>1.5082000000000002</v>
      </c>
      <c r="T101" s="8" t="s">
        <v>84</v>
      </c>
      <c r="U101" s="27"/>
    </row>
    <row r="102" spans="1:21" x14ac:dyDescent="0.25">
      <c r="A102" s="8">
        <v>99</v>
      </c>
      <c r="B102" s="8">
        <v>20.334499999999998</v>
      </c>
      <c r="C102" s="8">
        <v>84.521199999999993</v>
      </c>
      <c r="D102" s="3" t="s">
        <v>7</v>
      </c>
      <c r="E102" s="3">
        <v>3</v>
      </c>
      <c r="F102" s="8">
        <f t="shared" si="44"/>
        <v>2.75</v>
      </c>
      <c r="G102" s="3">
        <v>1256.681</v>
      </c>
      <c r="H102" s="11">
        <f t="shared" si="32"/>
        <v>2.3809999999999998</v>
      </c>
      <c r="I102" s="11">
        <f t="shared" si="33"/>
        <v>2.2105999999999999</v>
      </c>
      <c r="J102" s="11">
        <f t="shared" si="34"/>
        <v>2.0125999999999999</v>
      </c>
      <c r="K102" s="11">
        <f t="shared" si="35"/>
        <v>1.8076999999999999</v>
      </c>
      <c r="L102" s="11">
        <f t="shared" si="36"/>
        <v>1.5682999999999998</v>
      </c>
      <c r="M102" s="11">
        <f t="shared" si="37"/>
        <v>2.75</v>
      </c>
      <c r="N102" s="11">
        <f t="shared" si="38"/>
        <v>2.75</v>
      </c>
      <c r="O102" s="11">
        <f t="shared" si="39"/>
        <v>2.75</v>
      </c>
      <c r="P102" s="11">
        <f t="shared" si="40"/>
        <v>2.75</v>
      </c>
      <c r="Q102" s="11">
        <f t="shared" si="41"/>
        <v>2.75</v>
      </c>
      <c r="R102" s="11">
        <f t="shared" si="42"/>
        <v>2.6219000000000001</v>
      </c>
      <c r="S102" s="11">
        <f t="shared" si="43"/>
        <v>2.5082</v>
      </c>
      <c r="T102" s="8" t="s">
        <v>79</v>
      </c>
      <c r="U102" s="27"/>
    </row>
    <row r="103" spans="1:21" x14ac:dyDescent="0.25">
      <c r="A103" s="8">
        <v>100</v>
      </c>
      <c r="B103" s="8">
        <v>20.335899999999999</v>
      </c>
      <c r="C103" s="8">
        <v>84.522099999999995</v>
      </c>
      <c r="D103" s="3" t="s">
        <v>7</v>
      </c>
      <c r="E103" s="3">
        <v>4</v>
      </c>
      <c r="F103" s="8">
        <f t="shared" si="44"/>
        <v>3.75</v>
      </c>
      <c r="G103" s="3">
        <v>3003.681</v>
      </c>
      <c r="H103" s="11">
        <f t="shared" si="32"/>
        <v>3.3809999999999998</v>
      </c>
      <c r="I103" s="11">
        <f t="shared" si="33"/>
        <v>3.2105999999999999</v>
      </c>
      <c r="J103" s="11">
        <f t="shared" si="34"/>
        <v>3.0125999999999999</v>
      </c>
      <c r="K103" s="11">
        <f t="shared" si="35"/>
        <v>2.8077000000000001</v>
      </c>
      <c r="L103" s="11">
        <f t="shared" si="36"/>
        <v>2.5683000000000002</v>
      </c>
      <c r="M103" s="11">
        <f t="shared" si="37"/>
        <v>3.75</v>
      </c>
      <c r="N103" s="11">
        <f t="shared" si="38"/>
        <v>3.75</v>
      </c>
      <c r="O103" s="11">
        <f t="shared" si="39"/>
        <v>3.75</v>
      </c>
      <c r="P103" s="11">
        <f t="shared" si="40"/>
        <v>3.75</v>
      </c>
      <c r="Q103" s="11">
        <f t="shared" si="41"/>
        <v>3.75</v>
      </c>
      <c r="R103" s="11">
        <f t="shared" si="42"/>
        <v>3.6219000000000001</v>
      </c>
      <c r="S103" s="11">
        <f t="shared" si="43"/>
        <v>3.5082</v>
      </c>
      <c r="T103" s="8" t="s">
        <v>79</v>
      </c>
      <c r="U103" s="27"/>
    </row>
    <row r="104" spans="1:21" x14ac:dyDescent="0.25">
      <c r="A104" s="8">
        <v>101</v>
      </c>
      <c r="B104" s="8">
        <v>20.335999999999999</v>
      </c>
      <c r="C104" s="8">
        <v>84.521600000000007</v>
      </c>
      <c r="D104" s="3" t="s">
        <v>7</v>
      </c>
      <c r="E104" s="3">
        <v>2</v>
      </c>
      <c r="F104" s="8">
        <f t="shared" si="44"/>
        <v>1.75</v>
      </c>
      <c r="G104" s="3">
        <v>588.20600000000002</v>
      </c>
      <c r="H104" s="11">
        <f t="shared" si="32"/>
        <v>1.3810000000000002</v>
      </c>
      <c r="I104" s="11">
        <f t="shared" si="33"/>
        <v>1.2106000000000003</v>
      </c>
      <c r="J104" s="11">
        <f t="shared" si="34"/>
        <v>1.0126000000000004</v>
      </c>
      <c r="K104" s="11">
        <f t="shared" si="35"/>
        <v>0.80770000000000042</v>
      </c>
      <c r="L104" s="11">
        <f t="shared" si="36"/>
        <v>0.56830000000000047</v>
      </c>
      <c r="M104" s="11">
        <f t="shared" si="37"/>
        <v>1.75</v>
      </c>
      <c r="N104" s="11">
        <f t="shared" si="38"/>
        <v>1.75</v>
      </c>
      <c r="O104" s="11">
        <f t="shared" si="39"/>
        <v>1.75</v>
      </c>
      <c r="P104" s="11">
        <f t="shared" si="40"/>
        <v>1.75</v>
      </c>
      <c r="Q104" s="11">
        <f t="shared" si="41"/>
        <v>1.75</v>
      </c>
      <c r="R104" s="11">
        <f t="shared" si="42"/>
        <v>1.6219000000000001</v>
      </c>
      <c r="S104" s="11">
        <f t="shared" si="43"/>
        <v>1.5082000000000002</v>
      </c>
      <c r="T104" s="8" t="s">
        <v>79</v>
      </c>
      <c r="U104" s="27"/>
    </row>
    <row r="105" spans="1:21" x14ac:dyDescent="0.25">
      <c r="A105" s="8">
        <v>102</v>
      </c>
      <c r="B105" s="8">
        <v>20.328199999999999</v>
      </c>
      <c r="C105" s="8">
        <v>84.525499999999994</v>
      </c>
      <c r="D105" s="3" t="s">
        <v>7</v>
      </c>
      <c r="E105" s="3">
        <v>2.5</v>
      </c>
      <c r="F105" s="8">
        <f t="shared" si="44"/>
        <v>2.25</v>
      </c>
      <c r="G105" s="3">
        <v>616.93600000000004</v>
      </c>
      <c r="H105" s="11">
        <f t="shared" si="32"/>
        <v>1.881</v>
      </c>
      <c r="I105" s="11">
        <f t="shared" si="33"/>
        <v>1.7106000000000001</v>
      </c>
      <c r="J105" s="11">
        <f t="shared" si="34"/>
        <v>1.5126000000000002</v>
      </c>
      <c r="K105" s="11">
        <f t="shared" si="35"/>
        <v>1.3077000000000001</v>
      </c>
      <c r="L105" s="11">
        <f t="shared" si="36"/>
        <v>1.0683</v>
      </c>
      <c r="M105" s="11">
        <f t="shared" si="37"/>
        <v>2.25</v>
      </c>
      <c r="N105" s="11">
        <f t="shared" si="38"/>
        <v>2.25</v>
      </c>
      <c r="O105" s="11">
        <f t="shared" si="39"/>
        <v>2.25</v>
      </c>
      <c r="P105" s="11">
        <f t="shared" si="40"/>
        <v>2.25</v>
      </c>
      <c r="Q105" s="11">
        <f t="shared" si="41"/>
        <v>2.25</v>
      </c>
      <c r="R105" s="11">
        <f t="shared" si="42"/>
        <v>2.1219000000000001</v>
      </c>
      <c r="S105" s="11">
        <f t="shared" si="43"/>
        <v>2.0082</v>
      </c>
      <c r="T105" s="8" t="s">
        <v>79</v>
      </c>
      <c r="U105" s="27"/>
    </row>
    <row r="106" spans="1:21" x14ac:dyDescent="0.25">
      <c r="A106" s="8">
        <v>103</v>
      </c>
      <c r="B106" s="8">
        <v>20.328399999999998</v>
      </c>
      <c r="C106" s="8">
        <v>84.524900000000002</v>
      </c>
      <c r="D106" s="3" t="s">
        <v>7</v>
      </c>
      <c r="E106" s="3">
        <v>2</v>
      </c>
      <c r="F106" s="8">
        <f t="shared" si="44"/>
        <v>1.75</v>
      </c>
      <c r="G106" s="3">
        <v>209.15899999999999</v>
      </c>
      <c r="H106" s="11">
        <f t="shared" si="32"/>
        <v>1.3810000000000002</v>
      </c>
      <c r="I106" s="11">
        <f t="shared" si="33"/>
        <v>1.2106000000000003</v>
      </c>
      <c r="J106" s="11">
        <f t="shared" si="34"/>
        <v>1.0126000000000004</v>
      </c>
      <c r="K106" s="11">
        <f t="shared" si="35"/>
        <v>0.80770000000000042</v>
      </c>
      <c r="L106" s="11">
        <f t="shared" si="36"/>
        <v>0.56830000000000047</v>
      </c>
      <c r="M106" s="11">
        <f t="shared" si="37"/>
        <v>1.75</v>
      </c>
      <c r="N106" s="11">
        <f t="shared" si="38"/>
        <v>1.75</v>
      </c>
      <c r="O106" s="11">
        <f t="shared" si="39"/>
        <v>1.75</v>
      </c>
      <c r="P106" s="11">
        <f t="shared" si="40"/>
        <v>1.75</v>
      </c>
      <c r="Q106" s="11">
        <f t="shared" si="41"/>
        <v>1.75</v>
      </c>
      <c r="R106" s="11">
        <f t="shared" si="42"/>
        <v>1.6219000000000001</v>
      </c>
      <c r="S106" s="11">
        <f t="shared" si="43"/>
        <v>1.5082000000000002</v>
      </c>
      <c r="T106" s="8" t="s">
        <v>79</v>
      </c>
      <c r="U106" s="27"/>
    </row>
    <row r="107" spans="1:21" x14ac:dyDescent="0.25">
      <c r="A107" s="8">
        <v>104</v>
      </c>
      <c r="B107" s="8">
        <v>20.354800000000001</v>
      </c>
      <c r="C107" s="8">
        <v>84.534999999999997</v>
      </c>
      <c r="D107" s="3" t="s">
        <v>7</v>
      </c>
      <c r="E107" s="3">
        <v>3</v>
      </c>
      <c r="F107" s="8">
        <f t="shared" si="44"/>
        <v>2.75</v>
      </c>
      <c r="G107" s="3">
        <v>2055.5569999999998</v>
      </c>
      <c r="H107" s="11">
        <f t="shared" si="32"/>
        <v>2.3809999999999998</v>
      </c>
      <c r="I107" s="11">
        <f t="shared" si="33"/>
        <v>2.2105999999999999</v>
      </c>
      <c r="J107" s="11">
        <f t="shared" si="34"/>
        <v>2.0125999999999999</v>
      </c>
      <c r="K107" s="11">
        <f t="shared" si="35"/>
        <v>1.8076999999999999</v>
      </c>
      <c r="L107" s="11">
        <f t="shared" si="36"/>
        <v>1.5682999999999998</v>
      </c>
      <c r="M107" s="11">
        <f t="shared" si="37"/>
        <v>2.75</v>
      </c>
      <c r="N107" s="11">
        <f t="shared" si="38"/>
        <v>2.75</v>
      </c>
      <c r="O107" s="11">
        <f t="shared" si="39"/>
        <v>2.75</v>
      </c>
      <c r="P107" s="11">
        <f t="shared" si="40"/>
        <v>2.75</v>
      </c>
      <c r="Q107" s="11">
        <f t="shared" si="41"/>
        <v>2.75</v>
      </c>
      <c r="R107" s="11">
        <f t="shared" si="42"/>
        <v>2.6219000000000001</v>
      </c>
      <c r="S107" s="11">
        <f t="shared" si="43"/>
        <v>2.5082</v>
      </c>
      <c r="T107" s="8" t="s">
        <v>88</v>
      </c>
      <c r="U107" s="27"/>
    </row>
    <row r="108" spans="1:21" x14ac:dyDescent="0.25">
      <c r="A108" s="8">
        <v>105</v>
      </c>
      <c r="B108" s="8">
        <v>20.354299999999999</v>
      </c>
      <c r="C108" s="8">
        <v>84.538899999999998</v>
      </c>
      <c r="D108" s="3" t="s">
        <v>7</v>
      </c>
      <c r="E108" s="3">
        <v>3</v>
      </c>
      <c r="F108" s="8">
        <f t="shared" si="44"/>
        <v>2.75</v>
      </c>
      <c r="G108" s="3">
        <v>697.63099999999997</v>
      </c>
      <c r="H108" s="11">
        <f t="shared" si="32"/>
        <v>2.3809999999999998</v>
      </c>
      <c r="I108" s="11">
        <f t="shared" si="33"/>
        <v>2.2105999999999999</v>
      </c>
      <c r="J108" s="11">
        <f t="shared" si="34"/>
        <v>2.0125999999999999</v>
      </c>
      <c r="K108" s="11">
        <f t="shared" si="35"/>
        <v>1.8076999999999999</v>
      </c>
      <c r="L108" s="11">
        <f t="shared" si="36"/>
        <v>1.5682999999999998</v>
      </c>
      <c r="M108" s="11">
        <f t="shared" si="37"/>
        <v>2.75</v>
      </c>
      <c r="N108" s="11">
        <f t="shared" si="38"/>
        <v>2.75</v>
      </c>
      <c r="O108" s="11">
        <f t="shared" si="39"/>
        <v>2.75</v>
      </c>
      <c r="P108" s="11">
        <f t="shared" si="40"/>
        <v>2.75</v>
      </c>
      <c r="Q108" s="11">
        <f t="shared" si="41"/>
        <v>2.75</v>
      </c>
      <c r="R108" s="11">
        <f t="shared" si="42"/>
        <v>2.6219000000000001</v>
      </c>
      <c r="S108" s="11">
        <f t="shared" si="43"/>
        <v>2.5082</v>
      </c>
      <c r="T108" s="8" t="s">
        <v>88</v>
      </c>
      <c r="U108" s="27"/>
    </row>
    <row r="109" spans="1:21" x14ac:dyDescent="0.25">
      <c r="A109" s="8">
        <v>106</v>
      </c>
      <c r="B109" s="8">
        <v>20.357600000000001</v>
      </c>
      <c r="C109" s="8">
        <v>84.540599999999998</v>
      </c>
      <c r="D109" s="3" t="s">
        <v>7</v>
      </c>
      <c r="E109" s="3">
        <v>4</v>
      </c>
      <c r="F109" s="8">
        <f t="shared" si="44"/>
        <v>3.75</v>
      </c>
      <c r="G109" s="3">
        <v>1922.7529999999999</v>
      </c>
      <c r="H109" s="11">
        <f t="shared" si="32"/>
        <v>3.3809999999999998</v>
      </c>
      <c r="I109" s="11">
        <f t="shared" si="33"/>
        <v>3.2105999999999999</v>
      </c>
      <c r="J109" s="11">
        <f t="shared" si="34"/>
        <v>3.0125999999999999</v>
      </c>
      <c r="K109" s="11">
        <f t="shared" si="35"/>
        <v>2.8077000000000001</v>
      </c>
      <c r="L109" s="11">
        <f t="shared" si="36"/>
        <v>2.5683000000000002</v>
      </c>
      <c r="M109" s="11">
        <f t="shared" si="37"/>
        <v>3.75</v>
      </c>
      <c r="N109" s="11">
        <f t="shared" si="38"/>
        <v>3.75</v>
      </c>
      <c r="O109" s="11">
        <f t="shared" si="39"/>
        <v>3.75</v>
      </c>
      <c r="P109" s="11">
        <f t="shared" si="40"/>
        <v>3.75</v>
      </c>
      <c r="Q109" s="11">
        <f t="shared" si="41"/>
        <v>3.75</v>
      </c>
      <c r="R109" s="11">
        <f t="shared" si="42"/>
        <v>3.6219000000000001</v>
      </c>
      <c r="S109" s="11">
        <f t="shared" si="43"/>
        <v>3.5082</v>
      </c>
      <c r="T109" s="8" t="s">
        <v>88</v>
      </c>
      <c r="U109" s="27"/>
    </row>
    <row r="110" spans="1:21" x14ac:dyDescent="0.25">
      <c r="A110" s="8">
        <v>107</v>
      </c>
      <c r="B110" s="8">
        <v>20.3612</v>
      </c>
      <c r="C110" s="8">
        <v>84.540499999999994</v>
      </c>
      <c r="D110" s="3" t="s">
        <v>7</v>
      </c>
      <c r="E110" s="3">
        <v>2</v>
      </c>
      <c r="F110" s="8">
        <f t="shared" si="44"/>
        <v>1.75</v>
      </c>
      <c r="G110" s="3">
        <v>488.44299999999998</v>
      </c>
      <c r="H110" s="11">
        <f t="shared" si="32"/>
        <v>1.3810000000000002</v>
      </c>
      <c r="I110" s="11">
        <f t="shared" si="33"/>
        <v>1.2106000000000003</v>
      </c>
      <c r="J110" s="11">
        <f t="shared" si="34"/>
        <v>1.0126000000000004</v>
      </c>
      <c r="K110" s="11">
        <f t="shared" si="35"/>
        <v>0.80770000000000042</v>
      </c>
      <c r="L110" s="11">
        <f t="shared" si="36"/>
        <v>0.56830000000000047</v>
      </c>
      <c r="M110" s="11">
        <f t="shared" si="37"/>
        <v>1.75</v>
      </c>
      <c r="N110" s="11">
        <f t="shared" si="38"/>
        <v>1.75</v>
      </c>
      <c r="O110" s="11">
        <f t="shared" si="39"/>
        <v>1.75</v>
      </c>
      <c r="P110" s="11">
        <f t="shared" si="40"/>
        <v>1.75</v>
      </c>
      <c r="Q110" s="11">
        <f t="shared" si="41"/>
        <v>1.75</v>
      </c>
      <c r="R110" s="11">
        <f t="shared" si="42"/>
        <v>1.6219000000000001</v>
      </c>
      <c r="S110" s="11">
        <f t="shared" si="43"/>
        <v>1.5082000000000002</v>
      </c>
      <c r="T110" s="8" t="s">
        <v>88</v>
      </c>
      <c r="U110" s="27"/>
    </row>
    <row r="111" spans="1:21" x14ac:dyDescent="0.25">
      <c r="A111" s="8">
        <v>108</v>
      </c>
      <c r="B111" s="8">
        <v>20.402999999999999</v>
      </c>
      <c r="C111" s="8">
        <v>84.659899999999993</v>
      </c>
      <c r="D111" s="3" t="s">
        <v>7</v>
      </c>
      <c r="E111" s="3">
        <v>3</v>
      </c>
      <c r="F111" s="8">
        <f t="shared" si="44"/>
        <v>2.75</v>
      </c>
      <c r="G111" s="3">
        <v>3089.5680000000002</v>
      </c>
      <c r="H111" s="11">
        <f t="shared" si="32"/>
        <v>2.3809999999999998</v>
      </c>
      <c r="I111" s="11">
        <f t="shared" si="33"/>
        <v>2.2105999999999999</v>
      </c>
      <c r="J111" s="11">
        <f t="shared" si="34"/>
        <v>2.0125999999999999</v>
      </c>
      <c r="K111" s="11">
        <f t="shared" si="35"/>
        <v>1.8076999999999999</v>
      </c>
      <c r="L111" s="11">
        <f t="shared" si="36"/>
        <v>1.5682999999999998</v>
      </c>
      <c r="M111" s="11">
        <f t="shared" si="37"/>
        <v>2.75</v>
      </c>
      <c r="N111" s="11">
        <f t="shared" si="38"/>
        <v>2.75</v>
      </c>
      <c r="O111" s="11">
        <f t="shared" si="39"/>
        <v>2.75</v>
      </c>
      <c r="P111" s="11">
        <f t="shared" si="40"/>
        <v>2.75</v>
      </c>
      <c r="Q111" s="11">
        <f t="shared" si="41"/>
        <v>2.75</v>
      </c>
      <c r="R111" s="11">
        <f t="shared" si="42"/>
        <v>2.6219000000000001</v>
      </c>
      <c r="S111" s="11">
        <f t="shared" si="43"/>
        <v>2.5082</v>
      </c>
      <c r="T111" s="8" t="s">
        <v>76</v>
      </c>
      <c r="U111" s="27"/>
    </row>
    <row r="112" spans="1:21" x14ac:dyDescent="0.25">
      <c r="A112" s="8">
        <v>109</v>
      </c>
      <c r="B112" s="8">
        <v>20.4024</v>
      </c>
      <c r="C112" s="8">
        <v>84.659899999999993</v>
      </c>
      <c r="D112" s="3" t="s">
        <v>7</v>
      </c>
      <c r="E112" s="3">
        <v>4</v>
      </c>
      <c r="F112" s="8">
        <f t="shared" si="44"/>
        <v>3.75</v>
      </c>
      <c r="G112" s="3">
        <v>3490.5210000000002</v>
      </c>
      <c r="H112" s="11">
        <f t="shared" si="32"/>
        <v>3.3809999999999998</v>
      </c>
      <c r="I112" s="11">
        <f t="shared" si="33"/>
        <v>3.2105999999999999</v>
      </c>
      <c r="J112" s="11">
        <f t="shared" si="34"/>
        <v>3.0125999999999999</v>
      </c>
      <c r="K112" s="11">
        <f t="shared" si="35"/>
        <v>2.8077000000000001</v>
      </c>
      <c r="L112" s="11">
        <f t="shared" si="36"/>
        <v>2.5683000000000002</v>
      </c>
      <c r="M112" s="11">
        <f t="shared" si="37"/>
        <v>3.75</v>
      </c>
      <c r="N112" s="11">
        <f t="shared" si="38"/>
        <v>3.75</v>
      </c>
      <c r="O112" s="11">
        <f t="shared" si="39"/>
        <v>3.75</v>
      </c>
      <c r="P112" s="11">
        <f t="shared" si="40"/>
        <v>3.75</v>
      </c>
      <c r="Q112" s="11">
        <f t="shared" si="41"/>
        <v>3.75</v>
      </c>
      <c r="R112" s="11">
        <f t="shared" si="42"/>
        <v>3.6219000000000001</v>
      </c>
      <c r="S112" s="11">
        <f t="shared" si="43"/>
        <v>3.5082</v>
      </c>
      <c r="T112" s="8" t="s">
        <v>76</v>
      </c>
      <c r="U112" s="27"/>
    </row>
    <row r="113" spans="1:21" x14ac:dyDescent="0.25">
      <c r="A113" s="8">
        <v>110</v>
      </c>
      <c r="B113" s="8">
        <v>20.4041</v>
      </c>
      <c r="C113" s="8">
        <v>84.664199999999994</v>
      </c>
      <c r="D113" s="3" t="s">
        <v>7</v>
      </c>
      <c r="E113" s="3">
        <v>2</v>
      </c>
      <c r="F113" s="8">
        <f t="shared" si="44"/>
        <v>1.75</v>
      </c>
      <c r="G113" s="3">
        <v>2215.0630000000001</v>
      </c>
      <c r="H113" s="11">
        <f t="shared" si="32"/>
        <v>1.3810000000000002</v>
      </c>
      <c r="I113" s="11">
        <f t="shared" si="33"/>
        <v>1.2106000000000003</v>
      </c>
      <c r="J113" s="11">
        <f t="shared" si="34"/>
        <v>1.0126000000000004</v>
      </c>
      <c r="K113" s="11">
        <f t="shared" si="35"/>
        <v>0.80770000000000042</v>
      </c>
      <c r="L113" s="11">
        <f t="shared" si="36"/>
        <v>0.56830000000000047</v>
      </c>
      <c r="M113" s="11">
        <f t="shared" si="37"/>
        <v>1.75</v>
      </c>
      <c r="N113" s="11">
        <f t="shared" si="38"/>
        <v>1.75</v>
      </c>
      <c r="O113" s="11">
        <f t="shared" si="39"/>
        <v>1.75</v>
      </c>
      <c r="P113" s="11">
        <f t="shared" si="40"/>
        <v>1.75</v>
      </c>
      <c r="Q113" s="11">
        <f t="shared" si="41"/>
        <v>1.75</v>
      </c>
      <c r="R113" s="11">
        <f t="shared" si="42"/>
        <v>1.6219000000000001</v>
      </c>
      <c r="S113" s="11">
        <f t="shared" si="43"/>
        <v>1.5082000000000002</v>
      </c>
      <c r="T113" s="8" t="s">
        <v>76</v>
      </c>
      <c r="U113" s="27"/>
    </row>
    <row r="114" spans="1:21" x14ac:dyDescent="0.25">
      <c r="A114" s="8">
        <v>111</v>
      </c>
      <c r="B114" s="8">
        <v>20.3934</v>
      </c>
      <c r="C114" s="8">
        <v>84.656999999999996</v>
      </c>
      <c r="D114" s="3" t="s">
        <v>7</v>
      </c>
      <c r="E114" s="3">
        <v>2</v>
      </c>
      <c r="F114" s="8">
        <f t="shared" si="44"/>
        <v>1.75</v>
      </c>
      <c r="G114" s="3">
        <v>1630.182</v>
      </c>
      <c r="H114" s="11">
        <f t="shared" si="32"/>
        <v>1.3810000000000002</v>
      </c>
      <c r="I114" s="11">
        <f t="shared" si="33"/>
        <v>1.2106000000000003</v>
      </c>
      <c r="J114" s="11">
        <f t="shared" si="34"/>
        <v>1.0126000000000004</v>
      </c>
      <c r="K114" s="11">
        <f t="shared" si="35"/>
        <v>0.80770000000000042</v>
      </c>
      <c r="L114" s="11">
        <f t="shared" si="36"/>
        <v>0.56830000000000047</v>
      </c>
      <c r="M114" s="11">
        <f t="shared" si="37"/>
        <v>1.75</v>
      </c>
      <c r="N114" s="11">
        <f t="shared" si="38"/>
        <v>1.75</v>
      </c>
      <c r="O114" s="11">
        <f t="shared" si="39"/>
        <v>1.75</v>
      </c>
      <c r="P114" s="11">
        <f t="shared" si="40"/>
        <v>1.75</v>
      </c>
      <c r="Q114" s="11">
        <f t="shared" si="41"/>
        <v>1.75</v>
      </c>
      <c r="R114" s="11">
        <f t="shared" si="42"/>
        <v>1.6219000000000001</v>
      </c>
      <c r="S114" s="11">
        <f t="shared" si="43"/>
        <v>1.5082000000000002</v>
      </c>
      <c r="T114" s="8" t="s">
        <v>76</v>
      </c>
      <c r="U114" s="27"/>
    </row>
    <row r="115" spans="1:21" x14ac:dyDescent="0.25">
      <c r="A115" s="8">
        <v>112</v>
      </c>
      <c r="B115" s="8">
        <v>20.387699999999999</v>
      </c>
      <c r="C115" s="8">
        <v>84.663200000000003</v>
      </c>
      <c r="D115" s="3" t="s">
        <v>7</v>
      </c>
      <c r="E115" s="3">
        <v>2</v>
      </c>
      <c r="F115" s="8">
        <f t="shared" si="44"/>
        <v>1.75</v>
      </c>
      <c r="G115" s="3">
        <v>1570.492</v>
      </c>
      <c r="H115" s="11">
        <f t="shared" si="32"/>
        <v>1.3810000000000002</v>
      </c>
      <c r="I115" s="11">
        <f t="shared" si="33"/>
        <v>1.2106000000000003</v>
      </c>
      <c r="J115" s="11">
        <f t="shared" si="34"/>
        <v>1.0126000000000004</v>
      </c>
      <c r="K115" s="11">
        <f t="shared" si="35"/>
        <v>0.80770000000000042</v>
      </c>
      <c r="L115" s="11">
        <f t="shared" si="36"/>
        <v>0.56830000000000047</v>
      </c>
      <c r="M115" s="11">
        <f t="shared" si="37"/>
        <v>1.75</v>
      </c>
      <c r="N115" s="11">
        <f t="shared" si="38"/>
        <v>1.75</v>
      </c>
      <c r="O115" s="11">
        <f t="shared" si="39"/>
        <v>1.75</v>
      </c>
      <c r="P115" s="11">
        <f t="shared" si="40"/>
        <v>1.75</v>
      </c>
      <c r="Q115" s="11">
        <f t="shared" si="41"/>
        <v>1.75</v>
      </c>
      <c r="R115" s="11">
        <f t="shared" si="42"/>
        <v>1.6219000000000001</v>
      </c>
      <c r="S115" s="11">
        <f t="shared" si="43"/>
        <v>1.5082000000000002</v>
      </c>
      <c r="T115" s="8" t="s">
        <v>76</v>
      </c>
      <c r="U115" s="27"/>
    </row>
    <row r="116" spans="1:21" x14ac:dyDescent="0.25">
      <c r="A116" s="8">
        <v>113</v>
      </c>
      <c r="B116" s="8">
        <v>20.3874</v>
      </c>
      <c r="C116" s="8">
        <v>84.663600000000002</v>
      </c>
      <c r="D116" s="3" t="s">
        <v>7</v>
      </c>
      <c r="E116" s="3">
        <v>2</v>
      </c>
      <c r="F116" s="8">
        <f t="shared" si="44"/>
        <v>1.75</v>
      </c>
      <c r="G116" s="3">
        <v>1174.845</v>
      </c>
      <c r="H116" s="11">
        <f t="shared" si="32"/>
        <v>1.3810000000000002</v>
      </c>
      <c r="I116" s="11">
        <f t="shared" si="33"/>
        <v>1.2106000000000003</v>
      </c>
      <c r="J116" s="11">
        <f t="shared" si="34"/>
        <v>1.0126000000000004</v>
      </c>
      <c r="K116" s="11">
        <f t="shared" si="35"/>
        <v>0.80770000000000042</v>
      </c>
      <c r="L116" s="11">
        <f t="shared" si="36"/>
        <v>0.56830000000000047</v>
      </c>
      <c r="M116" s="11">
        <f t="shared" si="37"/>
        <v>1.75</v>
      </c>
      <c r="N116" s="11">
        <f t="shared" si="38"/>
        <v>1.75</v>
      </c>
      <c r="O116" s="11">
        <f t="shared" si="39"/>
        <v>1.75</v>
      </c>
      <c r="P116" s="11">
        <f t="shared" si="40"/>
        <v>1.75</v>
      </c>
      <c r="Q116" s="11">
        <f t="shared" si="41"/>
        <v>1.75</v>
      </c>
      <c r="R116" s="11">
        <f t="shared" si="42"/>
        <v>1.6219000000000001</v>
      </c>
      <c r="S116" s="11">
        <f t="shared" si="43"/>
        <v>1.5082000000000002</v>
      </c>
      <c r="T116" s="8" t="s">
        <v>76</v>
      </c>
      <c r="U116" s="27"/>
    </row>
    <row r="117" spans="1:21" x14ac:dyDescent="0.25">
      <c r="A117" s="8">
        <v>114</v>
      </c>
      <c r="B117" s="8">
        <v>20.403600000000001</v>
      </c>
      <c r="C117" s="8">
        <v>84.664000000000001</v>
      </c>
      <c r="D117" s="3" t="s">
        <v>7</v>
      </c>
      <c r="E117" s="3">
        <v>2</v>
      </c>
      <c r="F117" s="8">
        <f t="shared" si="44"/>
        <v>1.75</v>
      </c>
      <c r="G117" s="3">
        <v>3102.9259999999999</v>
      </c>
      <c r="H117" s="11">
        <f t="shared" si="32"/>
        <v>1.3810000000000002</v>
      </c>
      <c r="I117" s="11">
        <f t="shared" si="33"/>
        <v>1.2106000000000003</v>
      </c>
      <c r="J117" s="11">
        <f t="shared" si="34"/>
        <v>1.0126000000000004</v>
      </c>
      <c r="K117" s="11">
        <f t="shared" si="35"/>
        <v>0.80770000000000042</v>
      </c>
      <c r="L117" s="11">
        <f t="shared" si="36"/>
        <v>0.56830000000000047</v>
      </c>
      <c r="M117" s="11">
        <f t="shared" si="37"/>
        <v>1.75</v>
      </c>
      <c r="N117" s="11">
        <f t="shared" si="38"/>
        <v>1.75</v>
      </c>
      <c r="O117" s="11">
        <f t="shared" si="39"/>
        <v>1.75</v>
      </c>
      <c r="P117" s="11">
        <f t="shared" si="40"/>
        <v>1.75</v>
      </c>
      <c r="Q117" s="11">
        <f t="shared" si="41"/>
        <v>1.75</v>
      </c>
      <c r="R117" s="11">
        <f t="shared" si="42"/>
        <v>1.6219000000000001</v>
      </c>
      <c r="S117" s="11">
        <f t="shared" si="43"/>
        <v>1.5082000000000002</v>
      </c>
      <c r="T117" s="8" t="s">
        <v>76</v>
      </c>
      <c r="U117" s="27"/>
    </row>
    <row r="118" spans="1:21" x14ac:dyDescent="0.25">
      <c r="A118" s="8">
        <v>115</v>
      </c>
      <c r="B118" s="8">
        <v>20.403099999999998</v>
      </c>
      <c r="C118" s="8">
        <v>84.663600000000002</v>
      </c>
      <c r="D118" s="3" t="s">
        <v>7</v>
      </c>
      <c r="E118" s="3">
        <v>2</v>
      </c>
      <c r="F118" s="8">
        <f t="shared" si="44"/>
        <v>1.75</v>
      </c>
      <c r="G118" s="3">
        <v>2262.846</v>
      </c>
      <c r="H118" s="11">
        <f t="shared" si="32"/>
        <v>1.3810000000000002</v>
      </c>
      <c r="I118" s="11">
        <f t="shared" si="33"/>
        <v>1.2106000000000003</v>
      </c>
      <c r="J118" s="11">
        <f t="shared" si="34"/>
        <v>1.0126000000000004</v>
      </c>
      <c r="K118" s="11">
        <f t="shared" si="35"/>
        <v>0.80770000000000042</v>
      </c>
      <c r="L118" s="11">
        <f t="shared" si="36"/>
        <v>0.56830000000000047</v>
      </c>
      <c r="M118" s="11">
        <f t="shared" si="37"/>
        <v>1.75</v>
      </c>
      <c r="N118" s="11">
        <f t="shared" si="38"/>
        <v>1.75</v>
      </c>
      <c r="O118" s="11">
        <f t="shared" si="39"/>
        <v>1.75</v>
      </c>
      <c r="P118" s="11">
        <f t="shared" si="40"/>
        <v>1.75</v>
      </c>
      <c r="Q118" s="11">
        <f t="shared" si="41"/>
        <v>1.75</v>
      </c>
      <c r="R118" s="11">
        <f t="shared" si="42"/>
        <v>1.6219000000000001</v>
      </c>
      <c r="S118" s="11">
        <f t="shared" si="43"/>
        <v>1.5082000000000002</v>
      </c>
      <c r="T118" s="8" t="s">
        <v>76</v>
      </c>
      <c r="U118" s="27"/>
    </row>
    <row r="119" spans="1:21" x14ac:dyDescent="0.25">
      <c r="A119" s="8">
        <v>116</v>
      </c>
      <c r="B119" s="8">
        <v>20.401900000000001</v>
      </c>
      <c r="C119" s="8">
        <v>84.664299999999997</v>
      </c>
      <c r="D119" s="3" t="s">
        <v>7</v>
      </c>
      <c r="E119" s="3">
        <v>2</v>
      </c>
      <c r="F119" s="8">
        <f t="shared" si="44"/>
        <v>1.75</v>
      </c>
      <c r="G119" s="3">
        <v>2663.596</v>
      </c>
      <c r="H119" s="11">
        <f t="shared" si="32"/>
        <v>1.3810000000000002</v>
      </c>
      <c r="I119" s="11">
        <f t="shared" si="33"/>
        <v>1.2106000000000003</v>
      </c>
      <c r="J119" s="11">
        <f t="shared" si="34"/>
        <v>1.0126000000000004</v>
      </c>
      <c r="K119" s="11">
        <f t="shared" si="35"/>
        <v>0.80770000000000042</v>
      </c>
      <c r="L119" s="11">
        <f t="shared" si="36"/>
        <v>0.56830000000000047</v>
      </c>
      <c r="M119" s="11">
        <f t="shared" si="37"/>
        <v>1.75</v>
      </c>
      <c r="N119" s="11">
        <f t="shared" si="38"/>
        <v>1.75</v>
      </c>
      <c r="O119" s="11">
        <f t="shared" si="39"/>
        <v>1.75</v>
      </c>
      <c r="P119" s="11">
        <f t="shared" si="40"/>
        <v>1.75</v>
      </c>
      <c r="Q119" s="11">
        <f t="shared" si="41"/>
        <v>1.75</v>
      </c>
      <c r="R119" s="11">
        <f t="shared" si="42"/>
        <v>1.6219000000000001</v>
      </c>
      <c r="S119" s="11">
        <f t="shared" si="43"/>
        <v>1.5082000000000002</v>
      </c>
      <c r="T119" s="8" t="s">
        <v>76</v>
      </c>
      <c r="U119" s="27"/>
    </row>
    <row r="120" spans="1:21" x14ac:dyDescent="0.25">
      <c r="A120" s="8">
        <v>117</v>
      </c>
      <c r="B120" s="8">
        <v>20.3903</v>
      </c>
      <c r="C120" s="8">
        <v>84.666700000000006</v>
      </c>
      <c r="D120" s="3" t="s">
        <v>7</v>
      </c>
      <c r="E120" s="3">
        <v>3</v>
      </c>
      <c r="F120" s="8">
        <f t="shared" si="44"/>
        <v>2.75</v>
      </c>
      <c r="G120" s="3">
        <v>3538.5189999999998</v>
      </c>
      <c r="H120" s="11">
        <f t="shared" si="32"/>
        <v>2.3809999999999998</v>
      </c>
      <c r="I120" s="11">
        <f t="shared" si="33"/>
        <v>2.2105999999999999</v>
      </c>
      <c r="J120" s="11">
        <f t="shared" si="34"/>
        <v>2.0125999999999999</v>
      </c>
      <c r="K120" s="11">
        <f t="shared" si="35"/>
        <v>1.8076999999999999</v>
      </c>
      <c r="L120" s="11">
        <f t="shared" si="36"/>
        <v>1.5682999999999998</v>
      </c>
      <c r="M120" s="11">
        <f t="shared" si="37"/>
        <v>2.75</v>
      </c>
      <c r="N120" s="11">
        <f t="shared" si="38"/>
        <v>2.75</v>
      </c>
      <c r="O120" s="11">
        <f t="shared" si="39"/>
        <v>2.75</v>
      </c>
      <c r="P120" s="11">
        <f t="shared" si="40"/>
        <v>2.75</v>
      </c>
      <c r="Q120" s="11">
        <f t="shared" si="41"/>
        <v>2.75</v>
      </c>
      <c r="R120" s="11">
        <f t="shared" si="42"/>
        <v>2.6219000000000001</v>
      </c>
      <c r="S120" s="11">
        <f t="shared" si="43"/>
        <v>2.5082</v>
      </c>
      <c r="T120" s="8" t="s">
        <v>82</v>
      </c>
      <c r="U120" s="27"/>
    </row>
    <row r="121" spans="1:21" x14ac:dyDescent="0.25">
      <c r="A121" s="8">
        <v>118</v>
      </c>
      <c r="B121" s="8">
        <v>20.389500000000002</v>
      </c>
      <c r="C121" s="8">
        <v>84.667500000000004</v>
      </c>
      <c r="D121" s="3" t="s">
        <v>7</v>
      </c>
      <c r="E121" s="3">
        <v>2</v>
      </c>
      <c r="F121" s="8">
        <f t="shared" si="44"/>
        <v>1.75</v>
      </c>
      <c r="G121" s="3">
        <v>1133.7</v>
      </c>
      <c r="H121" s="11">
        <f t="shared" si="32"/>
        <v>1.3810000000000002</v>
      </c>
      <c r="I121" s="11">
        <f t="shared" si="33"/>
        <v>1.2106000000000003</v>
      </c>
      <c r="J121" s="11">
        <f t="shared" si="34"/>
        <v>1.0126000000000004</v>
      </c>
      <c r="K121" s="11">
        <f t="shared" si="35"/>
        <v>0.80770000000000042</v>
      </c>
      <c r="L121" s="11">
        <f t="shared" si="36"/>
        <v>0.56830000000000047</v>
      </c>
      <c r="M121" s="11">
        <f t="shared" si="37"/>
        <v>1.75</v>
      </c>
      <c r="N121" s="11">
        <f t="shared" si="38"/>
        <v>1.75</v>
      </c>
      <c r="O121" s="11">
        <f t="shared" si="39"/>
        <v>1.75</v>
      </c>
      <c r="P121" s="11">
        <f t="shared" si="40"/>
        <v>1.75</v>
      </c>
      <c r="Q121" s="11">
        <f t="shared" si="41"/>
        <v>1.75</v>
      </c>
      <c r="R121" s="11">
        <f t="shared" si="42"/>
        <v>1.6219000000000001</v>
      </c>
      <c r="S121" s="11">
        <f t="shared" si="43"/>
        <v>1.5082000000000002</v>
      </c>
      <c r="T121" s="8" t="s">
        <v>82</v>
      </c>
      <c r="U121" s="27"/>
    </row>
    <row r="122" spans="1:21" x14ac:dyDescent="0.25">
      <c r="A122" s="8">
        <v>119</v>
      </c>
      <c r="B122" s="8">
        <v>20.389399999999998</v>
      </c>
      <c r="C122" s="8">
        <v>84.669499999999999</v>
      </c>
      <c r="D122" s="3" t="s">
        <v>7</v>
      </c>
      <c r="E122" s="3">
        <v>2</v>
      </c>
      <c r="F122" s="8">
        <f t="shared" si="44"/>
        <v>1.75</v>
      </c>
      <c r="G122" s="3">
        <v>816.76199999999994</v>
      </c>
      <c r="H122" s="11">
        <f t="shared" si="32"/>
        <v>1.3810000000000002</v>
      </c>
      <c r="I122" s="11">
        <f t="shared" si="33"/>
        <v>1.2106000000000003</v>
      </c>
      <c r="J122" s="11">
        <f t="shared" si="34"/>
        <v>1.0126000000000004</v>
      </c>
      <c r="K122" s="11">
        <f t="shared" si="35"/>
        <v>0.80770000000000042</v>
      </c>
      <c r="L122" s="11">
        <f t="shared" si="36"/>
        <v>0.56830000000000047</v>
      </c>
      <c r="M122" s="11">
        <f t="shared" si="37"/>
        <v>1.75</v>
      </c>
      <c r="N122" s="11">
        <f t="shared" si="38"/>
        <v>1.75</v>
      </c>
      <c r="O122" s="11">
        <f t="shared" si="39"/>
        <v>1.75</v>
      </c>
      <c r="P122" s="11">
        <f t="shared" si="40"/>
        <v>1.75</v>
      </c>
      <c r="Q122" s="11">
        <f t="shared" si="41"/>
        <v>1.75</v>
      </c>
      <c r="R122" s="11">
        <f t="shared" si="42"/>
        <v>1.6219000000000001</v>
      </c>
      <c r="S122" s="11">
        <f t="shared" si="43"/>
        <v>1.5082000000000002</v>
      </c>
      <c r="T122" s="8" t="s">
        <v>82</v>
      </c>
      <c r="U122" s="27"/>
    </row>
    <row r="123" spans="1:21" x14ac:dyDescent="0.25">
      <c r="A123" s="8">
        <v>120</v>
      </c>
      <c r="B123" s="8">
        <v>20.3858</v>
      </c>
      <c r="C123" s="8">
        <v>84.673699999999997</v>
      </c>
      <c r="D123" s="3" t="s">
        <v>7</v>
      </c>
      <c r="E123" s="3">
        <v>2</v>
      </c>
      <c r="F123" s="8">
        <f t="shared" si="44"/>
        <v>1.75</v>
      </c>
      <c r="G123" s="3">
        <v>278.608</v>
      </c>
      <c r="H123" s="11">
        <f t="shared" si="32"/>
        <v>1.3810000000000002</v>
      </c>
      <c r="I123" s="11">
        <f t="shared" si="33"/>
        <v>1.2106000000000003</v>
      </c>
      <c r="J123" s="11">
        <f t="shared" si="34"/>
        <v>1.0126000000000004</v>
      </c>
      <c r="K123" s="11">
        <f t="shared" si="35"/>
        <v>0.80770000000000042</v>
      </c>
      <c r="L123" s="11">
        <f t="shared" si="36"/>
        <v>0.56830000000000047</v>
      </c>
      <c r="M123" s="11">
        <f t="shared" si="37"/>
        <v>1.75</v>
      </c>
      <c r="N123" s="11">
        <f t="shared" si="38"/>
        <v>1.75</v>
      </c>
      <c r="O123" s="11">
        <f t="shared" si="39"/>
        <v>1.75</v>
      </c>
      <c r="P123" s="11">
        <f t="shared" si="40"/>
        <v>1.75</v>
      </c>
      <c r="Q123" s="11">
        <f t="shared" si="41"/>
        <v>1.75</v>
      </c>
      <c r="R123" s="11">
        <f t="shared" si="42"/>
        <v>1.6219000000000001</v>
      </c>
      <c r="S123" s="11">
        <f t="shared" si="43"/>
        <v>1.5082000000000002</v>
      </c>
      <c r="T123" s="8" t="s">
        <v>82</v>
      </c>
      <c r="U123" s="27"/>
    </row>
    <row r="124" spans="1:21" x14ac:dyDescent="0.25">
      <c r="A124" s="8">
        <v>121</v>
      </c>
      <c r="B124" s="8">
        <v>20.3856</v>
      </c>
      <c r="C124" s="8">
        <v>84.673900000000003</v>
      </c>
      <c r="D124" s="3" t="s">
        <v>7</v>
      </c>
      <c r="E124" s="3">
        <v>2</v>
      </c>
      <c r="F124" s="8">
        <f t="shared" si="44"/>
        <v>1.75</v>
      </c>
      <c r="G124" s="3">
        <v>333.02600000000001</v>
      </c>
      <c r="H124" s="11">
        <f t="shared" si="32"/>
        <v>1.3810000000000002</v>
      </c>
      <c r="I124" s="11">
        <f t="shared" si="33"/>
        <v>1.2106000000000003</v>
      </c>
      <c r="J124" s="11">
        <f t="shared" si="34"/>
        <v>1.0126000000000004</v>
      </c>
      <c r="K124" s="11">
        <f t="shared" si="35"/>
        <v>0.80770000000000042</v>
      </c>
      <c r="L124" s="11">
        <f t="shared" si="36"/>
        <v>0.56830000000000047</v>
      </c>
      <c r="M124" s="11">
        <f t="shared" si="37"/>
        <v>1.75</v>
      </c>
      <c r="N124" s="11">
        <f t="shared" si="38"/>
        <v>1.75</v>
      </c>
      <c r="O124" s="11">
        <f t="shared" si="39"/>
        <v>1.75</v>
      </c>
      <c r="P124" s="11">
        <f t="shared" si="40"/>
        <v>1.75</v>
      </c>
      <c r="Q124" s="11">
        <f t="shared" si="41"/>
        <v>1.75</v>
      </c>
      <c r="R124" s="11">
        <f t="shared" si="42"/>
        <v>1.6219000000000001</v>
      </c>
      <c r="S124" s="11">
        <f t="shared" si="43"/>
        <v>1.5082000000000002</v>
      </c>
      <c r="T124" s="8" t="s">
        <v>82</v>
      </c>
      <c r="U124" s="27"/>
    </row>
    <row r="125" spans="1:21" x14ac:dyDescent="0.25">
      <c r="A125" s="8">
        <v>122</v>
      </c>
      <c r="B125" s="8">
        <v>20.387</v>
      </c>
      <c r="C125" s="8">
        <v>84.6751</v>
      </c>
      <c r="D125" s="3" t="s">
        <v>7</v>
      </c>
      <c r="E125" s="3">
        <v>2</v>
      </c>
      <c r="F125" s="8">
        <f t="shared" si="44"/>
        <v>1.75</v>
      </c>
      <c r="G125" s="3">
        <v>753.21699999999998</v>
      </c>
      <c r="H125" s="11">
        <f t="shared" si="32"/>
        <v>1.3810000000000002</v>
      </c>
      <c r="I125" s="11">
        <f t="shared" si="33"/>
        <v>1.2106000000000003</v>
      </c>
      <c r="J125" s="11">
        <f t="shared" si="34"/>
        <v>1.0126000000000004</v>
      </c>
      <c r="K125" s="11">
        <f t="shared" si="35"/>
        <v>0.80770000000000042</v>
      </c>
      <c r="L125" s="11">
        <f t="shared" si="36"/>
        <v>0.56830000000000047</v>
      </c>
      <c r="M125" s="11">
        <f t="shared" si="37"/>
        <v>1.75</v>
      </c>
      <c r="N125" s="11">
        <f t="shared" si="38"/>
        <v>1.75</v>
      </c>
      <c r="O125" s="11">
        <f t="shared" si="39"/>
        <v>1.75</v>
      </c>
      <c r="P125" s="11">
        <f t="shared" si="40"/>
        <v>1.75</v>
      </c>
      <c r="Q125" s="11">
        <f t="shared" si="41"/>
        <v>1.75</v>
      </c>
      <c r="R125" s="11">
        <f t="shared" si="42"/>
        <v>1.6219000000000001</v>
      </c>
      <c r="S125" s="11">
        <f t="shared" si="43"/>
        <v>1.5082000000000002</v>
      </c>
      <c r="T125" s="8" t="s">
        <v>82</v>
      </c>
      <c r="U125" s="27"/>
    </row>
    <row r="126" spans="1:21" x14ac:dyDescent="0.25">
      <c r="A126" s="8">
        <v>123</v>
      </c>
      <c r="B126" s="8">
        <v>20.391200000000001</v>
      </c>
      <c r="C126" s="8">
        <v>84.675299999999993</v>
      </c>
      <c r="D126" s="3" t="s">
        <v>7</v>
      </c>
      <c r="E126" s="3">
        <v>3</v>
      </c>
      <c r="F126" s="8">
        <f t="shared" si="44"/>
        <v>2.75</v>
      </c>
      <c r="G126" s="3">
        <v>1392.355</v>
      </c>
      <c r="H126" s="11">
        <f t="shared" si="32"/>
        <v>2.3809999999999998</v>
      </c>
      <c r="I126" s="11">
        <f t="shared" si="33"/>
        <v>2.2105999999999999</v>
      </c>
      <c r="J126" s="11">
        <f t="shared" si="34"/>
        <v>2.0125999999999999</v>
      </c>
      <c r="K126" s="11">
        <f t="shared" si="35"/>
        <v>1.8076999999999999</v>
      </c>
      <c r="L126" s="11">
        <f t="shared" si="36"/>
        <v>1.5682999999999998</v>
      </c>
      <c r="M126" s="11">
        <f t="shared" si="37"/>
        <v>2.75</v>
      </c>
      <c r="N126" s="11">
        <f t="shared" si="38"/>
        <v>2.75</v>
      </c>
      <c r="O126" s="11">
        <f t="shared" si="39"/>
        <v>2.75</v>
      </c>
      <c r="P126" s="11">
        <f t="shared" si="40"/>
        <v>2.75</v>
      </c>
      <c r="Q126" s="11">
        <f t="shared" si="41"/>
        <v>2.75</v>
      </c>
      <c r="R126" s="11">
        <f t="shared" si="42"/>
        <v>2.6219000000000001</v>
      </c>
      <c r="S126" s="11">
        <f t="shared" si="43"/>
        <v>2.5082</v>
      </c>
      <c r="T126" s="8" t="s">
        <v>82</v>
      </c>
      <c r="U126" s="27"/>
    </row>
    <row r="127" spans="1:21" x14ac:dyDescent="0.25">
      <c r="A127" s="8">
        <v>124</v>
      </c>
      <c r="B127" s="8">
        <v>20.392099999999999</v>
      </c>
      <c r="C127" s="8">
        <v>84.6708</v>
      </c>
      <c r="D127" s="3" t="s">
        <v>7</v>
      </c>
      <c r="E127" s="3">
        <v>2</v>
      </c>
      <c r="F127" s="8">
        <f t="shared" si="44"/>
        <v>1.75</v>
      </c>
      <c r="G127" s="3">
        <v>1338.2280000000001</v>
      </c>
      <c r="H127" s="11">
        <f t="shared" si="32"/>
        <v>1.3810000000000002</v>
      </c>
      <c r="I127" s="11">
        <f t="shared" si="33"/>
        <v>1.2106000000000003</v>
      </c>
      <c r="J127" s="11">
        <f t="shared" si="34"/>
        <v>1.0126000000000004</v>
      </c>
      <c r="K127" s="11">
        <f t="shared" si="35"/>
        <v>0.80770000000000042</v>
      </c>
      <c r="L127" s="11">
        <f t="shared" si="36"/>
        <v>0.56830000000000047</v>
      </c>
      <c r="M127" s="11">
        <f t="shared" si="37"/>
        <v>1.75</v>
      </c>
      <c r="N127" s="11">
        <f t="shared" si="38"/>
        <v>1.75</v>
      </c>
      <c r="O127" s="11">
        <f t="shared" si="39"/>
        <v>1.75</v>
      </c>
      <c r="P127" s="11">
        <f t="shared" si="40"/>
        <v>1.75</v>
      </c>
      <c r="Q127" s="11">
        <f t="shared" si="41"/>
        <v>1.75</v>
      </c>
      <c r="R127" s="11">
        <f t="shared" si="42"/>
        <v>1.6219000000000001</v>
      </c>
      <c r="S127" s="11">
        <f t="shared" si="43"/>
        <v>1.5082000000000002</v>
      </c>
      <c r="T127" s="8" t="s">
        <v>82</v>
      </c>
      <c r="U127" s="27"/>
    </row>
    <row r="128" spans="1:21" x14ac:dyDescent="0.25">
      <c r="A128" s="8">
        <v>125</v>
      </c>
      <c r="B128" s="8">
        <v>20.406600000000001</v>
      </c>
      <c r="C128" s="8">
        <v>84.669600000000003</v>
      </c>
      <c r="D128" s="3" t="s">
        <v>7</v>
      </c>
      <c r="E128" s="3">
        <v>4</v>
      </c>
      <c r="F128" s="8">
        <f t="shared" si="44"/>
        <v>3.75</v>
      </c>
      <c r="G128" s="3">
        <v>2022.2629999999999</v>
      </c>
      <c r="H128" s="11">
        <f t="shared" si="32"/>
        <v>3.3809999999999998</v>
      </c>
      <c r="I128" s="11">
        <f t="shared" si="33"/>
        <v>3.2105999999999999</v>
      </c>
      <c r="J128" s="11">
        <f t="shared" si="34"/>
        <v>3.0125999999999999</v>
      </c>
      <c r="K128" s="11">
        <f t="shared" si="35"/>
        <v>2.8077000000000001</v>
      </c>
      <c r="L128" s="11">
        <f t="shared" si="36"/>
        <v>2.5683000000000002</v>
      </c>
      <c r="M128" s="11">
        <f t="shared" si="37"/>
        <v>3.75</v>
      </c>
      <c r="N128" s="11">
        <f t="shared" si="38"/>
        <v>3.75</v>
      </c>
      <c r="O128" s="11">
        <f t="shared" si="39"/>
        <v>3.75</v>
      </c>
      <c r="P128" s="11">
        <f t="shared" si="40"/>
        <v>3.75</v>
      </c>
      <c r="Q128" s="11">
        <f t="shared" si="41"/>
        <v>3.75</v>
      </c>
      <c r="R128" s="11">
        <f t="shared" si="42"/>
        <v>3.6219000000000001</v>
      </c>
      <c r="S128" s="11">
        <f t="shared" si="43"/>
        <v>3.5082</v>
      </c>
      <c r="T128" s="8" t="s">
        <v>82</v>
      </c>
      <c r="U128" s="27"/>
    </row>
    <row r="129" spans="1:21" x14ac:dyDescent="0.25">
      <c r="A129" s="8">
        <v>126</v>
      </c>
      <c r="B129" s="8">
        <v>20.409800000000001</v>
      </c>
      <c r="C129" s="8">
        <v>84.672399999999996</v>
      </c>
      <c r="D129" s="3" t="s">
        <v>7</v>
      </c>
      <c r="E129" s="3">
        <v>3</v>
      </c>
      <c r="F129" s="8">
        <f t="shared" si="44"/>
        <v>2.75</v>
      </c>
      <c r="G129" s="3">
        <v>3198.252</v>
      </c>
      <c r="H129" s="11">
        <f t="shared" si="32"/>
        <v>2.3809999999999998</v>
      </c>
      <c r="I129" s="11">
        <f t="shared" si="33"/>
        <v>2.2105999999999999</v>
      </c>
      <c r="J129" s="11">
        <f t="shared" si="34"/>
        <v>2.0125999999999999</v>
      </c>
      <c r="K129" s="11">
        <f t="shared" si="35"/>
        <v>1.8076999999999999</v>
      </c>
      <c r="L129" s="11">
        <f t="shared" si="36"/>
        <v>1.5682999999999998</v>
      </c>
      <c r="M129" s="11">
        <f t="shared" si="37"/>
        <v>2.75</v>
      </c>
      <c r="N129" s="11">
        <f t="shared" si="38"/>
        <v>2.75</v>
      </c>
      <c r="O129" s="11">
        <f t="shared" si="39"/>
        <v>2.75</v>
      </c>
      <c r="P129" s="11">
        <f t="shared" si="40"/>
        <v>2.75</v>
      </c>
      <c r="Q129" s="11">
        <f t="shared" si="41"/>
        <v>2.75</v>
      </c>
      <c r="R129" s="11">
        <f t="shared" si="42"/>
        <v>2.6219000000000001</v>
      </c>
      <c r="S129" s="11">
        <f t="shared" si="43"/>
        <v>2.5082</v>
      </c>
      <c r="T129" s="8" t="s">
        <v>82</v>
      </c>
      <c r="U129" s="27"/>
    </row>
    <row r="130" spans="1:21" x14ac:dyDescent="0.25">
      <c r="A130" s="8">
        <v>127</v>
      </c>
      <c r="B130" s="8">
        <v>20.406700000000001</v>
      </c>
      <c r="C130" s="8">
        <v>84.674499999999995</v>
      </c>
      <c r="D130" s="3" t="s">
        <v>7</v>
      </c>
      <c r="E130" s="3">
        <v>3</v>
      </c>
      <c r="F130" s="8">
        <f t="shared" si="44"/>
        <v>2.75</v>
      </c>
      <c r="G130" s="3">
        <v>1508.4449999999999</v>
      </c>
      <c r="H130" s="11">
        <f t="shared" si="32"/>
        <v>2.3809999999999998</v>
      </c>
      <c r="I130" s="11">
        <f t="shared" si="33"/>
        <v>2.2105999999999999</v>
      </c>
      <c r="J130" s="11">
        <f t="shared" si="34"/>
        <v>2.0125999999999999</v>
      </c>
      <c r="K130" s="11">
        <f t="shared" si="35"/>
        <v>1.8076999999999999</v>
      </c>
      <c r="L130" s="11">
        <f t="shared" si="36"/>
        <v>1.5682999999999998</v>
      </c>
      <c r="M130" s="11">
        <f t="shared" si="37"/>
        <v>2.75</v>
      </c>
      <c r="N130" s="11">
        <f t="shared" si="38"/>
        <v>2.75</v>
      </c>
      <c r="O130" s="11">
        <f t="shared" si="39"/>
        <v>2.75</v>
      </c>
      <c r="P130" s="11">
        <f t="shared" si="40"/>
        <v>2.75</v>
      </c>
      <c r="Q130" s="11">
        <f t="shared" si="41"/>
        <v>2.75</v>
      </c>
      <c r="R130" s="11">
        <f t="shared" si="42"/>
        <v>2.6219000000000001</v>
      </c>
      <c r="S130" s="11">
        <f t="shared" si="43"/>
        <v>2.5082</v>
      </c>
      <c r="T130" s="8" t="s">
        <v>82</v>
      </c>
      <c r="U130" s="27"/>
    </row>
    <row r="131" spans="1:21" x14ac:dyDescent="0.25">
      <c r="A131" s="8">
        <v>128</v>
      </c>
      <c r="B131" s="8">
        <v>20.388500000000001</v>
      </c>
      <c r="C131" s="8">
        <v>84.6798</v>
      </c>
      <c r="D131" s="3" t="s">
        <v>7</v>
      </c>
      <c r="E131" s="3">
        <v>2</v>
      </c>
      <c r="F131" s="8">
        <f t="shared" ref="F131:F157" si="45">E131-$Z$21</f>
        <v>1.75</v>
      </c>
      <c r="G131" s="3">
        <v>297.97300000000001</v>
      </c>
      <c r="H131" s="11">
        <f t="shared" si="32"/>
        <v>1.3810000000000002</v>
      </c>
      <c r="I131" s="11">
        <f t="shared" si="33"/>
        <v>1.2106000000000003</v>
      </c>
      <c r="J131" s="11">
        <f t="shared" si="34"/>
        <v>1.0126000000000004</v>
      </c>
      <c r="K131" s="11">
        <f t="shared" si="35"/>
        <v>0.80770000000000042</v>
      </c>
      <c r="L131" s="11">
        <f t="shared" si="36"/>
        <v>0.56830000000000047</v>
      </c>
      <c r="M131" s="11">
        <f t="shared" si="37"/>
        <v>1.75</v>
      </c>
      <c r="N131" s="11">
        <f t="shared" si="38"/>
        <v>1.75</v>
      </c>
      <c r="O131" s="11">
        <f t="shared" si="39"/>
        <v>1.75</v>
      </c>
      <c r="P131" s="11">
        <f t="shared" si="40"/>
        <v>1.75</v>
      </c>
      <c r="Q131" s="11">
        <f t="shared" si="41"/>
        <v>1.75</v>
      </c>
      <c r="R131" s="11">
        <f t="shared" si="42"/>
        <v>1.6219000000000001</v>
      </c>
      <c r="S131" s="11">
        <f t="shared" si="43"/>
        <v>1.5082000000000002</v>
      </c>
      <c r="T131" s="8" t="s">
        <v>82</v>
      </c>
      <c r="U131" s="27"/>
    </row>
    <row r="132" spans="1:21" x14ac:dyDescent="0.25">
      <c r="A132" s="8">
        <v>129</v>
      </c>
      <c r="B132" s="8">
        <v>20.401800000000001</v>
      </c>
      <c r="C132" s="8">
        <v>84.655799999999999</v>
      </c>
      <c r="D132" s="3" t="s">
        <v>7</v>
      </c>
      <c r="E132" s="3">
        <v>2</v>
      </c>
      <c r="F132" s="8">
        <f t="shared" si="45"/>
        <v>1.75</v>
      </c>
      <c r="G132" s="3">
        <v>278.24099999999999</v>
      </c>
      <c r="H132" s="11">
        <f t="shared" ref="H132:H157" si="46">IF(S132-$AC$3&lt;0, 0, S132-$AC$3)</f>
        <v>1.3810000000000002</v>
      </c>
      <c r="I132" s="11">
        <f t="shared" ref="I132:I164" si="47">IF(H132-$AC$4&lt;0, 0, H132-$AC$4)</f>
        <v>1.2106000000000003</v>
      </c>
      <c r="J132" s="11">
        <f t="shared" ref="J132:J164" si="48">IF(I132-$AC$5&lt;0, 0, I132-$AC$5)</f>
        <v>1.0126000000000004</v>
      </c>
      <c r="K132" s="11">
        <f t="shared" ref="K132:K164" si="49">IF(J132-$AC$6&lt;0, 0, J132-$AC$6)</f>
        <v>0.80770000000000042</v>
      </c>
      <c r="L132" s="11">
        <f t="shared" ref="L132:L164" si="50">IF(K132-$AC$7&lt;0, 0, K132-$AC$7)</f>
        <v>0.56830000000000047</v>
      </c>
      <c r="M132" s="11">
        <f t="shared" ref="M132:M157" si="51">F132</f>
        <v>1.75</v>
      </c>
      <c r="N132" s="11">
        <f t="shared" ref="N132:N157" si="52">F132</f>
        <v>1.75</v>
      </c>
      <c r="O132" s="11">
        <f t="shared" ref="O132:O157" si="53">F132</f>
        <v>1.75</v>
      </c>
      <c r="P132" s="11">
        <f t="shared" ref="P132:P157" si="54">F132</f>
        <v>1.75</v>
      </c>
      <c r="Q132" s="11">
        <f t="shared" ref="Q132:Q157" si="55">F132</f>
        <v>1.75</v>
      </c>
      <c r="R132" s="11">
        <f t="shared" ref="R132:R164" si="56">IF(Q132-$AC$13&lt;0, 0, Q132-$AC$13)</f>
        <v>1.6219000000000001</v>
      </c>
      <c r="S132" s="11">
        <f t="shared" ref="S132:S164" si="57">IF(R132-$AC$14&lt;0, 0, R132-$AC$14)</f>
        <v>1.5082000000000002</v>
      </c>
      <c r="T132" s="8" t="s">
        <v>76</v>
      </c>
      <c r="U132" s="27"/>
    </row>
    <row r="133" spans="1:21" x14ac:dyDescent="0.25">
      <c r="A133" s="8">
        <v>130</v>
      </c>
      <c r="B133" s="8">
        <v>20.373100000000001</v>
      </c>
      <c r="C133" s="8">
        <v>84.653899999999993</v>
      </c>
      <c r="D133" s="3" t="s">
        <v>7</v>
      </c>
      <c r="E133" s="3">
        <v>3</v>
      </c>
      <c r="F133" s="8">
        <f t="shared" si="45"/>
        <v>2.75</v>
      </c>
      <c r="G133" s="3">
        <v>1289.8489999999999</v>
      </c>
      <c r="H133" s="11">
        <f t="shared" si="46"/>
        <v>2.3809999999999998</v>
      </c>
      <c r="I133" s="11">
        <f t="shared" si="47"/>
        <v>2.2105999999999999</v>
      </c>
      <c r="J133" s="11">
        <f t="shared" si="48"/>
        <v>2.0125999999999999</v>
      </c>
      <c r="K133" s="11">
        <f t="shared" si="49"/>
        <v>1.8076999999999999</v>
      </c>
      <c r="L133" s="11">
        <f t="shared" si="50"/>
        <v>1.5682999999999998</v>
      </c>
      <c r="M133" s="11">
        <f t="shared" si="51"/>
        <v>2.75</v>
      </c>
      <c r="N133" s="11">
        <f t="shared" si="52"/>
        <v>2.75</v>
      </c>
      <c r="O133" s="11">
        <f t="shared" si="53"/>
        <v>2.75</v>
      </c>
      <c r="P133" s="11">
        <f t="shared" si="54"/>
        <v>2.75</v>
      </c>
      <c r="Q133" s="11">
        <f t="shared" si="55"/>
        <v>2.75</v>
      </c>
      <c r="R133" s="11">
        <f t="shared" si="56"/>
        <v>2.6219000000000001</v>
      </c>
      <c r="S133" s="11">
        <f t="shared" si="57"/>
        <v>2.5082</v>
      </c>
      <c r="T133" s="8" t="s">
        <v>89</v>
      </c>
      <c r="U133" s="27"/>
    </row>
    <row r="134" spans="1:21" x14ac:dyDescent="0.25">
      <c r="A134" s="8">
        <v>131</v>
      </c>
      <c r="B134" s="8">
        <v>20.3733</v>
      </c>
      <c r="C134" s="8">
        <v>84.654799999999994</v>
      </c>
      <c r="D134" s="3" t="s">
        <v>7</v>
      </c>
      <c r="E134" s="3">
        <v>3</v>
      </c>
      <c r="F134" s="8">
        <f t="shared" si="45"/>
        <v>2.75</v>
      </c>
      <c r="G134" s="3">
        <v>1368.011</v>
      </c>
      <c r="H134" s="11">
        <f t="shared" si="46"/>
        <v>2.3809999999999998</v>
      </c>
      <c r="I134" s="11">
        <f t="shared" si="47"/>
        <v>2.2105999999999999</v>
      </c>
      <c r="J134" s="11">
        <f t="shared" si="48"/>
        <v>2.0125999999999999</v>
      </c>
      <c r="K134" s="11">
        <f t="shared" si="49"/>
        <v>1.8076999999999999</v>
      </c>
      <c r="L134" s="11">
        <f t="shared" si="50"/>
        <v>1.5682999999999998</v>
      </c>
      <c r="M134" s="11">
        <f t="shared" si="51"/>
        <v>2.75</v>
      </c>
      <c r="N134" s="11">
        <f t="shared" si="52"/>
        <v>2.75</v>
      </c>
      <c r="O134" s="11">
        <f t="shared" si="53"/>
        <v>2.75</v>
      </c>
      <c r="P134" s="11">
        <f t="shared" si="54"/>
        <v>2.75</v>
      </c>
      <c r="Q134" s="11">
        <f t="shared" si="55"/>
        <v>2.75</v>
      </c>
      <c r="R134" s="11">
        <f t="shared" si="56"/>
        <v>2.6219000000000001</v>
      </c>
      <c r="S134" s="11">
        <f t="shared" si="57"/>
        <v>2.5082</v>
      </c>
      <c r="T134" s="8" t="s">
        <v>89</v>
      </c>
      <c r="U134" s="27"/>
    </row>
    <row r="135" spans="1:21" x14ac:dyDescent="0.25">
      <c r="A135" s="8">
        <v>132</v>
      </c>
      <c r="B135" s="8">
        <v>20.373100000000001</v>
      </c>
      <c r="C135" s="8">
        <v>84.662599999999998</v>
      </c>
      <c r="D135" s="3" t="s">
        <v>7</v>
      </c>
      <c r="E135" s="3">
        <v>3</v>
      </c>
      <c r="F135" s="8">
        <f t="shared" si="45"/>
        <v>2.75</v>
      </c>
      <c r="G135" s="3">
        <v>1261.58</v>
      </c>
      <c r="H135" s="11">
        <f t="shared" si="46"/>
        <v>2.3809999999999998</v>
      </c>
      <c r="I135" s="11">
        <f t="shared" si="47"/>
        <v>2.2105999999999999</v>
      </c>
      <c r="J135" s="11">
        <f t="shared" si="48"/>
        <v>2.0125999999999999</v>
      </c>
      <c r="K135" s="11">
        <f t="shared" si="49"/>
        <v>1.8076999999999999</v>
      </c>
      <c r="L135" s="11">
        <f t="shared" si="50"/>
        <v>1.5682999999999998</v>
      </c>
      <c r="M135" s="11">
        <f t="shared" si="51"/>
        <v>2.75</v>
      </c>
      <c r="N135" s="11">
        <f t="shared" si="52"/>
        <v>2.75</v>
      </c>
      <c r="O135" s="11">
        <f t="shared" si="53"/>
        <v>2.75</v>
      </c>
      <c r="P135" s="11">
        <f t="shared" si="54"/>
        <v>2.75</v>
      </c>
      <c r="Q135" s="11">
        <f t="shared" si="55"/>
        <v>2.75</v>
      </c>
      <c r="R135" s="11">
        <f t="shared" si="56"/>
        <v>2.6219000000000001</v>
      </c>
      <c r="S135" s="11">
        <f t="shared" si="57"/>
        <v>2.5082</v>
      </c>
      <c r="T135" s="8" t="s">
        <v>89</v>
      </c>
      <c r="U135" s="27"/>
    </row>
    <row r="136" spans="1:21" x14ac:dyDescent="0.25">
      <c r="A136" s="8">
        <v>133</v>
      </c>
      <c r="B136" s="8">
        <v>20.357299999999999</v>
      </c>
      <c r="C136" s="8">
        <v>84.648200000000003</v>
      </c>
      <c r="D136" s="3" t="s">
        <v>7</v>
      </c>
      <c r="E136" s="3">
        <v>2</v>
      </c>
      <c r="F136" s="8">
        <f t="shared" si="45"/>
        <v>1.75</v>
      </c>
      <c r="G136" s="3">
        <v>611.82799999999997</v>
      </c>
      <c r="H136" s="11">
        <f t="shared" si="46"/>
        <v>1.3810000000000002</v>
      </c>
      <c r="I136" s="11">
        <f t="shared" si="47"/>
        <v>1.2106000000000003</v>
      </c>
      <c r="J136" s="11">
        <f t="shared" si="48"/>
        <v>1.0126000000000004</v>
      </c>
      <c r="K136" s="11">
        <f t="shared" si="49"/>
        <v>0.80770000000000042</v>
      </c>
      <c r="L136" s="11">
        <f t="shared" si="50"/>
        <v>0.56830000000000047</v>
      </c>
      <c r="M136" s="11">
        <f t="shared" si="51"/>
        <v>1.75</v>
      </c>
      <c r="N136" s="11">
        <f t="shared" si="52"/>
        <v>1.75</v>
      </c>
      <c r="O136" s="11">
        <f t="shared" si="53"/>
        <v>1.75</v>
      </c>
      <c r="P136" s="11">
        <f t="shared" si="54"/>
        <v>1.75</v>
      </c>
      <c r="Q136" s="11">
        <f t="shared" si="55"/>
        <v>1.75</v>
      </c>
      <c r="R136" s="11">
        <f t="shared" si="56"/>
        <v>1.6219000000000001</v>
      </c>
      <c r="S136" s="11">
        <f t="shared" si="57"/>
        <v>1.5082000000000002</v>
      </c>
      <c r="T136" s="8" t="s">
        <v>89</v>
      </c>
      <c r="U136" s="27"/>
    </row>
    <row r="137" spans="1:21" x14ac:dyDescent="0.25">
      <c r="A137" s="8">
        <v>134</v>
      </c>
      <c r="B137" s="8">
        <v>20.3565</v>
      </c>
      <c r="C137" s="8">
        <v>84.643900000000002</v>
      </c>
      <c r="D137" s="3" t="s">
        <v>7</v>
      </c>
      <c r="E137" s="3">
        <v>2</v>
      </c>
      <c r="F137" s="8">
        <f t="shared" si="45"/>
        <v>1.75</v>
      </c>
      <c r="G137" s="3">
        <v>504.28699999999998</v>
      </c>
      <c r="H137" s="11">
        <f t="shared" si="46"/>
        <v>1.3810000000000002</v>
      </c>
      <c r="I137" s="11">
        <f t="shared" si="47"/>
        <v>1.2106000000000003</v>
      </c>
      <c r="J137" s="11">
        <f t="shared" si="48"/>
        <v>1.0126000000000004</v>
      </c>
      <c r="K137" s="11">
        <f t="shared" si="49"/>
        <v>0.80770000000000042</v>
      </c>
      <c r="L137" s="11">
        <f t="shared" si="50"/>
        <v>0.56830000000000047</v>
      </c>
      <c r="M137" s="11">
        <f t="shared" si="51"/>
        <v>1.75</v>
      </c>
      <c r="N137" s="11">
        <f t="shared" si="52"/>
        <v>1.75</v>
      </c>
      <c r="O137" s="11">
        <f t="shared" si="53"/>
        <v>1.75</v>
      </c>
      <c r="P137" s="11">
        <f t="shared" si="54"/>
        <v>1.75</v>
      </c>
      <c r="Q137" s="11">
        <f t="shared" si="55"/>
        <v>1.75</v>
      </c>
      <c r="R137" s="11">
        <f t="shared" si="56"/>
        <v>1.6219000000000001</v>
      </c>
      <c r="S137" s="11">
        <f t="shared" si="57"/>
        <v>1.5082000000000002</v>
      </c>
      <c r="T137" s="8" t="s">
        <v>89</v>
      </c>
      <c r="U137" s="27"/>
    </row>
    <row r="138" spans="1:21" x14ac:dyDescent="0.25">
      <c r="A138" s="8">
        <v>135</v>
      </c>
      <c r="B138" s="8">
        <v>20.3599</v>
      </c>
      <c r="C138" s="8">
        <v>84.633399999999995</v>
      </c>
      <c r="D138" s="3" t="s">
        <v>7</v>
      </c>
      <c r="E138" s="3">
        <v>3</v>
      </c>
      <c r="F138" s="8">
        <f t="shared" si="45"/>
        <v>2.75</v>
      </c>
      <c r="G138" s="3">
        <v>2662.1039999999998</v>
      </c>
      <c r="H138" s="11">
        <f t="shared" si="46"/>
        <v>2.3809999999999998</v>
      </c>
      <c r="I138" s="11">
        <f t="shared" si="47"/>
        <v>2.2105999999999999</v>
      </c>
      <c r="J138" s="11">
        <f t="shared" si="48"/>
        <v>2.0125999999999999</v>
      </c>
      <c r="K138" s="11">
        <f t="shared" si="49"/>
        <v>1.8076999999999999</v>
      </c>
      <c r="L138" s="11">
        <f t="shared" si="50"/>
        <v>1.5682999999999998</v>
      </c>
      <c r="M138" s="11">
        <f t="shared" si="51"/>
        <v>2.75</v>
      </c>
      <c r="N138" s="11">
        <f t="shared" si="52"/>
        <v>2.75</v>
      </c>
      <c r="O138" s="11">
        <f t="shared" si="53"/>
        <v>2.75</v>
      </c>
      <c r="P138" s="11">
        <f t="shared" si="54"/>
        <v>2.75</v>
      </c>
      <c r="Q138" s="11">
        <f t="shared" si="55"/>
        <v>2.75</v>
      </c>
      <c r="R138" s="11">
        <f t="shared" si="56"/>
        <v>2.6219000000000001</v>
      </c>
      <c r="S138" s="11">
        <f t="shared" si="57"/>
        <v>2.5082</v>
      </c>
      <c r="T138" s="8" t="s">
        <v>89</v>
      </c>
      <c r="U138" s="27"/>
    </row>
    <row r="139" spans="1:21" x14ac:dyDescent="0.25">
      <c r="A139" s="8">
        <v>136</v>
      </c>
      <c r="B139" s="8">
        <v>20.336600000000001</v>
      </c>
      <c r="C139" s="8">
        <v>84.500399999999999</v>
      </c>
      <c r="D139" s="3" t="s">
        <v>7</v>
      </c>
      <c r="E139" s="3">
        <v>2</v>
      </c>
      <c r="F139" s="8">
        <f t="shared" si="45"/>
        <v>1.75</v>
      </c>
      <c r="G139" s="3">
        <v>939.43899999999996</v>
      </c>
      <c r="H139" s="11">
        <f t="shared" si="46"/>
        <v>1.3810000000000002</v>
      </c>
      <c r="I139" s="11">
        <f t="shared" si="47"/>
        <v>1.2106000000000003</v>
      </c>
      <c r="J139" s="11">
        <f t="shared" si="48"/>
        <v>1.0126000000000004</v>
      </c>
      <c r="K139" s="11">
        <f t="shared" si="49"/>
        <v>0.80770000000000042</v>
      </c>
      <c r="L139" s="11">
        <f t="shared" si="50"/>
        <v>0.56830000000000047</v>
      </c>
      <c r="M139" s="11">
        <f t="shared" si="51"/>
        <v>1.75</v>
      </c>
      <c r="N139" s="11">
        <f t="shared" si="52"/>
        <v>1.75</v>
      </c>
      <c r="O139" s="11">
        <f t="shared" si="53"/>
        <v>1.75</v>
      </c>
      <c r="P139" s="11">
        <f t="shared" si="54"/>
        <v>1.75</v>
      </c>
      <c r="Q139" s="11">
        <f t="shared" si="55"/>
        <v>1.75</v>
      </c>
      <c r="R139" s="11">
        <f t="shared" si="56"/>
        <v>1.6219000000000001</v>
      </c>
      <c r="S139" s="11">
        <f t="shared" si="57"/>
        <v>1.5082000000000002</v>
      </c>
      <c r="T139" s="8" t="s">
        <v>78</v>
      </c>
      <c r="U139" s="27"/>
    </row>
    <row r="140" spans="1:21" x14ac:dyDescent="0.25">
      <c r="A140" s="8">
        <v>137</v>
      </c>
      <c r="B140" s="8">
        <v>20.345300000000002</v>
      </c>
      <c r="C140" s="8">
        <v>84.525000000000006</v>
      </c>
      <c r="D140" s="3" t="s">
        <v>7</v>
      </c>
      <c r="E140" s="3">
        <v>3</v>
      </c>
      <c r="F140" s="8">
        <f t="shared" si="45"/>
        <v>2.75</v>
      </c>
      <c r="G140" s="3">
        <v>2240.9029999999998</v>
      </c>
      <c r="H140" s="11">
        <f t="shared" si="46"/>
        <v>2.3809999999999998</v>
      </c>
      <c r="I140" s="11">
        <f t="shared" si="47"/>
        <v>2.2105999999999999</v>
      </c>
      <c r="J140" s="11">
        <f t="shared" si="48"/>
        <v>2.0125999999999999</v>
      </c>
      <c r="K140" s="11">
        <f t="shared" si="49"/>
        <v>1.8076999999999999</v>
      </c>
      <c r="L140" s="11">
        <f t="shared" si="50"/>
        <v>1.5682999999999998</v>
      </c>
      <c r="M140" s="11">
        <f t="shared" si="51"/>
        <v>2.75</v>
      </c>
      <c r="N140" s="11">
        <f t="shared" si="52"/>
        <v>2.75</v>
      </c>
      <c r="O140" s="11">
        <f t="shared" si="53"/>
        <v>2.75</v>
      </c>
      <c r="P140" s="11">
        <f t="shared" si="54"/>
        <v>2.75</v>
      </c>
      <c r="Q140" s="11">
        <f t="shared" si="55"/>
        <v>2.75</v>
      </c>
      <c r="R140" s="11">
        <f t="shared" si="56"/>
        <v>2.6219000000000001</v>
      </c>
      <c r="S140" s="11">
        <f t="shared" si="57"/>
        <v>2.5082</v>
      </c>
      <c r="T140" s="8" t="s">
        <v>88</v>
      </c>
      <c r="U140" s="27"/>
    </row>
    <row r="141" spans="1:21" x14ac:dyDescent="0.25">
      <c r="A141" s="8">
        <v>138</v>
      </c>
      <c r="B141" s="8">
        <v>20.3249</v>
      </c>
      <c r="C141" s="8">
        <v>84.528000000000006</v>
      </c>
      <c r="D141" s="3" t="s">
        <v>7</v>
      </c>
      <c r="E141" s="3">
        <v>4</v>
      </c>
      <c r="F141" s="8">
        <f t="shared" si="45"/>
        <v>3.75</v>
      </c>
      <c r="G141" s="3">
        <v>1422.0429999999999</v>
      </c>
      <c r="H141" s="11">
        <f t="shared" si="46"/>
        <v>3.3809999999999998</v>
      </c>
      <c r="I141" s="11">
        <f t="shared" si="47"/>
        <v>3.2105999999999999</v>
      </c>
      <c r="J141" s="11">
        <f t="shared" si="48"/>
        <v>3.0125999999999999</v>
      </c>
      <c r="K141" s="11">
        <f t="shared" si="49"/>
        <v>2.8077000000000001</v>
      </c>
      <c r="L141" s="11">
        <f t="shared" si="50"/>
        <v>2.5683000000000002</v>
      </c>
      <c r="M141" s="11">
        <f t="shared" si="51"/>
        <v>3.75</v>
      </c>
      <c r="N141" s="11">
        <f t="shared" si="52"/>
        <v>3.75</v>
      </c>
      <c r="O141" s="11">
        <f t="shared" si="53"/>
        <v>3.75</v>
      </c>
      <c r="P141" s="11">
        <f t="shared" si="54"/>
        <v>3.75</v>
      </c>
      <c r="Q141" s="11">
        <f t="shared" si="55"/>
        <v>3.75</v>
      </c>
      <c r="R141" s="11">
        <f t="shared" si="56"/>
        <v>3.6219000000000001</v>
      </c>
      <c r="S141" s="11">
        <f t="shared" si="57"/>
        <v>3.5082</v>
      </c>
      <c r="T141" s="8" t="s">
        <v>79</v>
      </c>
      <c r="U141" s="27"/>
    </row>
    <row r="142" spans="1:21" x14ac:dyDescent="0.25">
      <c r="A142" s="8">
        <v>139</v>
      </c>
      <c r="B142" s="8">
        <v>20.334800000000001</v>
      </c>
      <c r="C142" s="8">
        <v>84.551699999999997</v>
      </c>
      <c r="D142" s="3" t="s">
        <v>7</v>
      </c>
      <c r="E142" s="3">
        <v>3</v>
      </c>
      <c r="F142" s="8">
        <f t="shared" si="45"/>
        <v>2.75</v>
      </c>
      <c r="G142" s="3">
        <v>509.06799999999998</v>
      </c>
      <c r="H142" s="11">
        <f t="shared" si="46"/>
        <v>2.3809999999999998</v>
      </c>
      <c r="I142" s="11">
        <f t="shared" si="47"/>
        <v>2.2105999999999999</v>
      </c>
      <c r="J142" s="11">
        <f t="shared" si="48"/>
        <v>2.0125999999999999</v>
      </c>
      <c r="K142" s="11">
        <f t="shared" si="49"/>
        <v>1.8076999999999999</v>
      </c>
      <c r="L142" s="11">
        <f t="shared" si="50"/>
        <v>1.5682999999999998</v>
      </c>
      <c r="M142" s="11">
        <f t="shared" si="51"/>
        <v>2.75</v>
      </c>
      <c r="N142" s="11">
        <f t="shared" si="52"/>
        <v>2.75</v>
      </c>
      <c r="O142" s="11">
        <f t="shared" si="53"/>
        <v>2.75</v>
      </c>
      <c r="P142" s="11">
        <f t="shared" si="54"/>
        <v>2.75</v>
      </c>
      <c r="Q142" s="11">
        <f t="shared" si="55"/>
        <v>2.75</v>
      </c>
      <c r="R142" s="11">
        <f t="shared" si="56"/>
        <v>2.6219000000000001</v>
      </c>
      <c r="S142" s="11">
        <f t="shared" si="57"/>
        <v>2.5082</v>
      </c>
      <c r="T142" s="8" t="s">
        <v>90</v>
      </c>
      <c r="U142" s="27"/>
    </row>
    <row r="143" spans="1:21" x14ac:dyDescent="0.25">
      <c r="A143" s="8">
        <v>140</v>
      </c>
      <c r="B143" s="8">
        <v>20.3263</v>
      </c>
      <c r="C143" s="8">
        <v>84.636200000000002</v>
      </c>
      <c r="D143" s="3" t="s">
        <v>7</v>
      </c>
      <c r="E143" s="3">
        <v>3</v>
      </c>
      <c r="F143" s="8">
        <f t="shared" si="45"/>
        <v>2.75</v>
      </c>
      <c r="G143" s="3">
        <v>2118.75</v>
      </c>
      <c r="H143" s="11">
        <f t="shared" si="46"/>
        <v>2.3809999999999998</v>
      </c>
      <c r="I143" s="11">
        <f t="shared" si="47"/>
        <v>2.2105999999999999</v>
      </c>
      <c r="J143" s="11">
        <f t="shared" si="48"/>
        <v>2.0125999999999999</v>
      </c>
      <c r="K143" s="11">
        <f t="shared" si="49"/>
        <v>1.8076999999999999</v>
      </c>
      <c r="L143" s="11">
        <f t="shared" si="50"/>
        <v>1.5682999999999998</v>
      </c>
      <c r="M143" s="11">
        <f t="shared" si="51"/>
        <v>2.75</v>
      </c>
      <c r="N143" s="11">
        <f t="shared" si="52"/>
        <v>2.75</v>
      </c>
      <c r="O143" s="11">
        <f t="shared" si="53"/>
        <v>2.75</v>
      </c>
      <c r="P143" s="11">
        <f t="shared" si="54"/>
        <v>2.75</v>
      </c>
      <c r="Q143" s="11">
        <f t="shared" si="55"/>
        <v>2.75</v>
      </c>
      <c r="R143" s="11">
        <f t="shared" si="56"/>
        <v>2.6219000000000001</v>
      </c>
      <c r="S143" s="11">
        <f t="shared" si="57"/>
        <v>2.5082</v>
      </c>
      <c r="T143" s="8" t="s">
        <v>81</v>
      </c>
      <c r="U143" s="27"/>
    </row>
    <row r="144" spans="1:21" x14ac:dyDescent="0.25">
      <c r="A144" s="8">
        <v>141</v>
      </c>
      <c r="B144" s="8">
        <v>20.366900000000001</v>
      </c>
      <c r="C144" s="8">
        <v>84.553899999999999</v>
      </c>
      <c r="D144" s="3" t="s">
        <v>7</v>
      </c>
      <c r="E144" s="3">
        <v>2</v>
      </c>
      <c r="F144" s="8">
        <f t="shared" si="45"/>
        <v>1.75</v>
      </c>
      <c r="G144" s="3">
        <v>455.42200000000003</v>
      </c>
      <c r="H144" s="11">
        <f t="shared" si="46"/>
        <v>1.3810000000000002</v>
      </c>
      <c r="I144" s="11">
        <f t="shared" si="47"/>
        <v>1.2106000000000003</v>
      </c>
      <c r="J144" s="11">
        <f t="shared" si="48"/>
        <v>1.0126000000000004</v>
      </c>
      <c r="K144" s="11">
        <f t="shared" si="49"/>
        <v>0.80770000000000042</v>
      </c>
      <c r="L144" s="11">
        <f t="shared" si="50"/>
        <v>0.56830000000000047</v>
      </c>
      <c r="M144" s="11">
        <f t="shared" si="51"/>
        <v>1.75</v>
      </c>
      <c r="N144" s="11">
        <f t="shared" si="52"/>
        <v>1.75</v>
      </c>
      <c r="O144" s="11">
        <f t="shared" si="53"/>
        <v>1.75</v>
      </c>
      <c r="P144" s="11">
        <f t="shared" si="54"/>
        <v>1.75</v>
      </c>
      <c r="Q144" s="11">
        <f t="shared" si="55"/>
        <v>1.75</v>
      </c>
      <c r="R144" s="11">
        <f t="shared" si="56"/>
        <v>1.6219000000000001</v>
      </c>
      <c r="S144" s="11">
        <f t="shared" si="57"/>
        <v>1.5082000000000002</v>
      </c>
      <c r="T144" s="8" t="s">
        <v>85</v>
      </c>
      <c r="U144" s="27"/>
    </row>
    <row r="145" spans="1:21" x14ac:dyDescent="0.25">
      <c r="A145" s="8">
        <v>142</v>
      </c>
      <c r="B145" s="8">
        <v>20.3887</v>
      </c>
      <c r="C145" s="8">
        <v>84.667699999999996</v>
      </c>
      <c r="D145" s="3" t="s">
        <v>7</v>
      </c>
      <c r="E145" s="3">
        <v>2</v>
      </c>
      <c r="F145" s="8">
        <f t="shared" si="45"/>
        <v>1.75</v>
      </c>
      <c r="G145" s="3">
        <v>760.12</v>
      </c>
      <c r="H145" s="11">
        <f t="shared" si="46"/>
        <v>1.3810000000000002</v>
      </c>
      <c r="I145" s="11">
        <f t="shared" si="47"/>
        <v>1.2106000000000003</v>
      </c>
      <c r="J145" s="11">
        <f t="shared" si="48"/>
        <v>1.0126000000000004</v>
      </c>
      <c r="K145" s="11">
        <f t="shared" si="49"/>
        <v>0.80770000000000042</v>
      </c>
      <c r="L145" s="11">
        <f t="shared" si="50"/>
        <v>0.56830000000000047</v>
      </c>
      <c r="M145" s="11">
        <f t="shared" si="51"/>
        <v>1.75</v>
      </c>
      <c r="N145" s="11">
        <f t="shared" si="52"/>
        <v>1.75</v>
      </c>
      <c r="O145" s="11">
        <f t="shared" si="53"/>
        <v>1.75</v>
      </c>
      <c r="P145" s="11">
        <f t="shared" si="54"/>
        <v>1.75</v>
      </c>
      <c r="Q145" s="11">
        <f t="shared" si="55"/>
        <v>1.75</v>
      </c>
      <c r="R145" s="11">
        <f t="shared" si="56"/>
        <v>1.6219000000000001</v>
      </c>
      <c r="S145" s="11">
        <f t="shared" si="57"/>
        <v>1.5082000000000002</v>
      </c>
      <c r="T145" s="8" t="s">
        <v>82</v>
      </c>
      <c r="U145" s="27"/>
    </row>
    <row r="146" spans="1:21" x14ac:dyDescent="0.25">
      <c r="A146" s="8">
        <v>143</v>
      </c>
      <c r="B146" s="8">
        <v>20.3947</v>
      </c>
      <c r="C146" s="8">
        <v>84.678299999999993</v>
      </c>
      <c r="D146" s="3" t="s">
        <v>7</v>
      </c>
      <c r="E146" s="3">
        <v>3</v>
      </c>
      <c r="F146" s="8">
        <f t="shared" si="45"/>
        <v>2.75</v>
      </c>
      <c r="G146" s="3">
        <v>891.40899999999999</v>
      </c>
      <c r="H146" s="11">
        <f t="shared" si="46"/>
        <v>2.3809999999999998</v>
      </c>
      <c r="I146" s="11">
        <f t="shared" si="47"/>
        <v>2.2105999999999999</v>
      </c>
      <c r="J146" s="11">
        <f t="shared" si="48"/>
        <v>2.0125999999999999</v>
      </c>
      <c r="K146" s="11">
        <f t="shared" si="49"/>
        <v>1.8076999999999999</v>
      </c>
      <c r="L146" s="11">
        <f t="shared" si="50"/>
        <v>1.5682999999999998</v>
      </c>
      <c r="M146" s="11">
        <f t="shared" si="51"/>
        <v>2.75</v>
      </c>
      <c r="N146" s="11">
        <f t="shared" si="52"/>
        <v>2.75</v>
      </c>
      <c r="O146" s="11">
        <f t="shared" si="53"/>
        <v>2.75</v>
      </c>
      <c r="P146" s="11">
        <f t="shared" si="54"/>
        <v>2.75</v>
      </c>
      <c r="Q146" s="11">
        <f t="shared" si="55"/>
        <v>2.75</v>
      </c>
      <c r="R146" s="11">
        <f t="shared" si="56"/>
        <v>2.6219000000000001</v>
      </c>
      <c r="S146" s="11">
        <f t="shared" si="57"/>
        <v>2.5082</v>
      </c>
      <c r="T146" s="8" t="s">
        <v>82</v>
      </c>
      <c r="U146" s="27"/>
    </row>
    <row r="147" spans="1:21" x14ac:dyDescent="0.25">
      <c r="A147" s="8">
        <v>144</v>
      </c>
      <c r="B147" s="8">
        <v>20.327100000000002</v>
      </c>
      <c r="C147" s="8">
        <v>84.523700000000005</v>
      </c>
      <c r="D147" s="3" t="s">
        <v>7</v>
      </c>
      <c r="E147" s="3">
        <v>2</v>
      </c>
      <c r="F147" s="8">
        <f t="shared" si="45"/>
        <v>1.75</v>
      </c>
      <c r="G147" s="3">
        <v>511.39600000000002</v>
      </c>
      <c r="H147" s="11">
        <f t="shared" si="46"/>
        <v>1.3810000000000002</v>
      </c>
      <c r="I147" s="11">
        <f t="shared" si="47"/>
        <v>1.2106000000000003</v>
      </c>
      <c r="J147" s="11">
        <f t="shared" si="48"/>
        <v>1.0126000000000004</v>
      </c>
      <c r="K147" s="11">
        <f t="shared" si="49"/>
        <v>0.80770000000000042</v>
      </c>
      <c r="L147" s="11">
        <f t="shared" si="50"/>
        <v>0.56830000000000047</v>
      </c>
      <c r="M147" s="11">
        <f t="shared" si="51"/>
        <v>1.75</v>
      </c>
      <c r="N147" s="11">
        <f t="shared" si="52"/>
        <v>1.75</v>
      </c>
      <c r="O147" s="11">
        <f t="shared" si="53"/>
        <v>1.75</v>
      </c>
      <c r="P147" s="11">
        <f t="shared" si="54"/>
        <v>1.75</v>
      </c>
      <c r="Q147" s="11">
        <f t="shared" si="55"/>
        <v>1.75</v>
      </c>
      <c r="R147" s="11">
        <f t="shared" si="56"/>
        <v>1.6219000000000001</v>
      </c>
      <c r="S147" s="11">
        <f t="shared" si="57"/>
        <v>1.5082000000000002</v>
      </c>
      <c r="T147" s="8" t="s">
        <v>79</v>
      </c>
      <c r="U147" s="27"/>
    </row>
    <row r="148" spans="1:21" x14ac:dyDescent="0.25">
      <c r="A148" s="8">
        <v>145</v>
      </c>
      <c r="B148" s="8">
        <v>20.326000000000001</v>
      </c>
      <c r="C148" s="8">
        <v>84.523899999999998</v>
      </c>
      <c r="D148" s="3" t="s">
        <v>7</v>
      </c>
      <c r="E148" s="3">
        <v>2</v>
      </c>
      <c r="F148" s="8">
        <f t="shared" si="45"/>
        <v>1.75</v>
      </c>
      <c r="G148" s="3">
        <v>317.54199999999997</v>
      </c>
      <c r="H148" s="11">
        <f t="shared" si="46"/>
        <v>1.3810000000000002</v>
      </c>
      <c r="I148" s="11">
        <f t="shared" si="47"/>
        <v>1.2106000000000003</v>
      </c>
      <c r="J148" s="11">
        <f t="shared" si="48"/>
        <v>1.0126000000000004</v>
      </c>
      <c r="K148" s="11">
        <f t="shared" si="49"/>
        <v>0.80770000000000042</v>
      </c>
      <c r="L148" s="11">
        <f t="shared" si="50"/>
        <v>0.56830000000000047</v>
      </c>
      <c r="M148" s="11">
        <f t="shared" si="51"/>
        <v>1.75</v>
      </c>
      <c r="N148" s="11">
        <f t="shared" si="52"/>
        <v>1.75</v>
      </c>
      <c r="O148" s="11">
        <f t="shared" si="53"/>
        <v>1.75</v>
      </c>
      <c r="P148" s="11">
        <f t="shared" si="54"/>
        <v>1.75</v>
      </c>
      <c r="Q148" s="11">
        <f t="shared" si="55"/>
        <v>1.75</v>
      </c>
      <c r="R148" s="11">
        <f t="shared" si="56"/>
        <v>1.6219000000000001</v>
      </c>
      <c r="S148" s="11">
        <f t="shared" si="57"/>
        <v>1.5082000000000002</v>
      </c>
      <c r="T148" s="8" t="s">
        <v>79</v>
      </c>
      <c r="U148" s="27"/>
    </row>
    <row r="149" spans="1:21" x14ac:dyDescent="0.25">
      <c r="A149" s="8">
        <v>146</v>
      </c>
      <c r="B149" s="8">
        <v>20.325600000000001</v>
      </c>
      <c r="C149" s="8">
        <v>84.523799999999994</v>
      </c>
      <c r="D149" s="3" t="s">
        <v>7</v>
      </c>
      <c r="E149" s="3">
        <v>2</v>
      </c>
      <c r="F149" s="8">
        <f t="shared" si="45"/>
        <v>1.75</v>
      </c>
      <c r="G149" s="3">
        <v>412.05200000000002</v>
      </c>
      <c r="H149" s="11">
        <f t="shared" si="46"/>
        <v>1.3810000000000002</v>
      </c>
      <c r="I149" s="11">
        <f t="shared" si="47"/>
        <v>1.2106000000000003</v>
      </c>
      <c r="J149" s="11">
        <f t="shared" si="48"/>
        <v>1.0126000000000004</v>
      </c>
      <c r="K149" s="11">
        <f t="shared" si="49"/>
        <v>0.80770000000000042</v>
      </c>
      <c r="L149" s="11">
        <f t="shared" si="50"/>
        <v>0.56830000000000047</v>
      </c>
      <c r="M149" s="11">
        <f t="shared" si="51"/>
        <v>1.75</v>
      </c>
      <c r="N149" s="11">
        <f t="shared" si="52"/>
        <v>1.75</v>
      </c>
      <c r="O149" s="11">
        <f t="shared" si="53"/>
        <v>1.75</v>
      </c>
      <c r="P149" s="11">
        <f t="shared" si="54"/>
        <v>1.75</v>
      </c>
      <c r="Q149" s="11">
        <f t="shared" si="55"/>
        <v>1.75</v>
      </c>
      <c r="R149" s="11">
        <f t="shared" si="56"/>
        <v>1.6219000000000001</v>
      </c>
      <c r="S149" s="11">
        <f t="shared" si="57"/>
        <v>1.5082000000000002</v>
      </c>
      <c r="T149" s="8" t="s">
        <v>79</v>
      </c>
      <c r="U149" s="27"/>
    </row>
    <row r="150" spans="1:21" x14ac:dyDescent="0.25">
      <c r="A150" s="8">
        <v>147</v>
      </c>
      <c r="B150" s="8">
        <v>20.325299999999999</v>
      </c>
      <c r="C150" s="8">
        <v>84.524000000000001</v>
      </c>
      <c r="D150" s="3" t="s">
        <v>7</v>
      </c>
      <c r="E150" s="3">
        <v>2</v>
      </c>
      <c r="F150" s="8">
        <f t="shared" si="45"/>
        <v>1.75</v>
      </c>
      <c r="G150" s="3">
        <v>415.37799999999999</v>
      </c>
      <c r="H150" s="11">
        <f t="shared" si="46"/>
        <v>1.3810000000000002</v>
      </c>
      <c r="I150" s="11">
        <f t="shared" si="47"/>
        <v>1.2106000000000003</v>
      </c>
      <c r="J150" s="11">
        <f t="shared" si="48"/>
        <v>1.0126000000000004</v>
      </c>
      <c r="K150" s="11">
        <f t="shared" si="49"/>
        <v>0.80770000000000042</v>
      </c>
      <c r="L150" s="11">
        <f t="shared" si="50"/>
        <v>0.56830000000000047</v>
      </c>
      <c r="M150" s="11">
        <f t="shared" si="51"/>
        <v>1.75</v>
      </c>
      <c r="N150" s="11">
        <f t="shared" si="52"/>
        <v>1.75</v>
      </c>
      <c r="O150" s="11">
        <f t="shared" si="53"/>
        <v>1.75</v>
      </c>
      <c r="P150" s="11">
        <f t="shared" si="54"/>
        <v>1.75</v>
      </c>
      <c r="Q150" s="11">
        <f t="shared" si="55"/>
        <v>1.75</v>
      </c>
      <c r="R150" s="11">
        <f t="shared" si="56"/>
        <v>1.6219000000000001</v>
      </c>
      <c r="S150" s="11">
        <f t="shared" si="57"/>
        <v>1.5082000000000002</v>
      </c>
      <c r="T150" s="8" t="s">
        <v>79</v>
      </c>
      <c r="U150" s="27"/>
    </row>
    <row r="151" spans="1:21" x14ac:dyDescent="0.25">
      <c r="A151" s="8">
        <v>148</v>
      </c>
      <c r="B151" s="8">
        <v>20.3246</v>
      </c>
      <c r="C151" s="8">
        <v>84.523200000000003</v>
      </c>
      <c r="D151" s="3" t="s">
        <v>7</v>
      </c>
      <c r="E151" s="3">
        <v>2</v>
      </c>
      <c r="F151" s="8">
        <f t="shared" si="45"/>
        <v>1.75</v>
      </c>
      <c r="G151" s="3">
        <v>595.21400000000006</v>
      </c>
      <c r="H151" s="11">
        <f t="shared" si="46"/>
        <v>1.3810000000000002</v>
      </c>
      <c r="I151" s="11">
        <f t="shared" si="47"/>
        <v>1.2106000000000003</v>
      </c>
      <c r="J151" s="11">
        <f t="shared" si="48"/>
        <v>1.0126000000000004</v>
      </c>
      <c r="K151" s="11">
        <f t="shared" si="49"/>
        <v>0.80770000000000042</v>
      </c>
      <c r="L151" s="11">
        <f t="shared" si="50"/>
        <v>0.56830000000000047</v>
      </c>
      <c r="M151" s="11">
        <f t="shared" si="51"/>
        <v>1.75</v>
      </c>
      <c r="N151" s="11">
        <f t="shared" si="52"/>
        <v>1.75</v>
      </c>
      <c r="O151" s="11">
        <f t="shared" si="53"/>
        <v>1.75</v>
      </c>
      <c r="P151" s="11">
        <f t="shared" si="54"/>
        <v>1.75</v>
      </c>
      <c r="Q151" s="11">
        <f t="shared" si="55"/>
        <v>1.75</v>
      </c>
      <c r="R151" s="11">
        <f t="shared" si="56"/>
        <v>1.6219000000000001</v>
      </c>
      <c r="S151" s="11">
        <f t="shared" si="57"/>
        <v>1.5082000000000002</v>
      </c>
      <c r="T151" s="8" t="s">
        <v>79</v>
      </c>
      <c r="U151" s="27"/>
    </row>
    <row r="152" spans="1:21" x14ac:dyDescent="0.25">
      <c r="A152" s="8">
        <v>149</v>
      </c>
      <c r="B152" s="8">
        <v>20.324300000000001</v>
      </c>
      <c r="C152" s="8">
        <v>84.526399999999995</v>
      </c>
      <c r="D152" s="3" t="s">
        <v>7</v>
      </c>
      <c r="E152" s="3">
        <v>3</v>
      </c>
      <c r="F152" s="8">
        <f t="shared" si="45"/>
        <v>2.75</v>
      </c>
      <c r="G152" s="3">
        <v>410.12400000000002</v>
      </c>
      <c r="H152" s="11">
        <f t="shared" si="46"/>
        <v>2.3809999999999998</v>
      </c>
      <c r="I152" s="11">
        <f t="shared" si="47"/>
        <v>2.2105999999999999</v>
      </c>
      <c r="J152" s="11">
        <f t="shared" si="48"/>
        <v>2.0125999999999999</v>
      </c>
      <c r="K152" s="11">
        <f t="shared" si="49"/>
        <v>1.8076999999999999</v>
      </c>
      <c r="L152" s="11">
        <f t="shared" si="50"/>
        <v>1.5682999999999998</v>
      </c>
      <c r="M152" s="11">
        <f t="shared" si="51"/>
        <v>2.75</v>
      </c>
      <c r="N152" s="11">
        <f t="shared" si="52"/>
        <v>2.75</v>
      </c>
      <c r="O152" s="11">
        <f t="shared" si="53"/>
        <v>2.75</v>
      </c>
      <c r="P152" s="11">
        <f t="shared" si="54"/>
        <v>2.75</v>
      </c>
      <c r="Q152" s="11">
        <f t="shared" si="55"/>
        <v>2.75</v>
      </c>
      <c r="R152" s="11">
        <f t="shared" si="56"/>
        <v>2.6219000000000001</v>
      </c>
      <c r="S152" s="11">
        <f t="shared" si="57"/>
        <v>2.5082</v>
      </c>
      <c r="T152" s="8" t="s">
        <v>79</v>
      </c>
      <c r="U152" s="27"/>
    </row>
    <row r="153" spans="1:21" x14ac:dyDescent="0.25">
      <c r="A153" s="8">
        <v>150</v>
      </c>
      <c r="B153" s="8">
        <v>20.336400000000001</v>
      </c>
      <c r="C153" s="8">
        <v>84.520700000000005</v>
      </c>
      <c r="D153" s="3" t="s">
        <v>7</v>
      </c>
      <c r="E153" s="3">
        <v>2</v>
      </c>
      <c r="F153" s="8">
        <f t="shared" si="45"/>
        <v>1.75</v>
      </c>
      <c r="G153" s="3">
        <v>357.75599999999997</v>
      </c>
      <c r="H153" s="11">
        <f t="shared" si="46"/>
        <v>1.3810000000000002</v>
      </c>
      <c r="I153" s="11">
        <f t="shared" si="47"/>
        <v>1.2106000000000003</v>
      </c>
      <c r="J153" s="11">
        <f t="shared" si="48"/>
        <v>1.0126000000000004</v>
      </c>
      <c r="K153" s="11">
        <f t="shared" si="49"/>
        <v>0.80770000000000042</v>
      </c>
      <c r="L153" s="11">
        <f t="shared" si="50"/>
        <v>0.56830000000000047</v>
      </c>
      <c r="M153" s="11">
        <f t="shared" si="51"/>
        <v>1.75</v>
      </c>
      <c r="N153" s="11">
        <f t="shared" si="52"/>
        <v>1.75</v>
      </c>
      <c r="O153" s="11">
        <f t="shared" si="53"/>
        <v>1.75</v>
      </c>
      <c r="P153" s="11">
        <f t="shared" si="54"/>
        <v>1.75</v>
      </c>
      <c r="Q153" s="11">
        <f t="shared" si="55"/>
        <v>1.75</v>
      </c>
      <c r="R153" s="11">
        <f t="shared" si="56"/>
        <v>1.6219000000000001</v>
      </c>
      <c r="S153" s="11">
        <f t="shared" si="57"/>
        <v>1.5082000000000002</v>
      </c>
      <c r="T153" s="8" t="s">
        <v>79</v>
      </c>
      <c r="U153" s="27"/>
    </row>
    <row r="154" spans="1:21" x14ac:dyDescent="0.25">
      <c r="A154" s="8">
        <v>151</v>
      </c>
      <c r="B154" s="8">
        <v>20.363800000000001</v>
      </c>
      <c r="C154" s="8">
        <v>84.5197</v>
      </c>
      <c r="D154" s="3" t="s">
        <v>7</v>
      </c>
      <c r="E154" s="3">
        <v>2</v>
      </c>
      <c r="F154" s="8">
        <f t="shared" si="45"/>
        <v>1.75</v>
      </c>
      <c r="G154" s="3">
        <v>403.05700000000002</v>
      </c>
      <c r="H154" s="11">
        <f t="shared" si="46"/>
        <v>1.3810000000000002</v>
      </c>
      <c r="I154" s="11">
        <f t="shared" si="47"/>
        <v>1.2106000000000003</v>
      </c>
      <c r="J154" s="11">
        <f t="shared" si="48"/>
        <v>1.0126000000000004</v>
      </c>
      <c r="K154" s="11">
        <f t="shared" si="49"/>
        <v>0.80770000000000042</v>
      </c>
      <c r="L154" s="11">
        <f t="shared" si="50"/>
        <v>0.56830000000000047</v>
      </c>
      <c r="M154" s="11">
        <f t="shared" si="51"/>
        <v>1.75</v>
      </c>
      <c r="N154" s="11">
        <f t="shared" si="52"/>
        <v>1.75</v>
      </c>
      <c r="O154" s="11">
        <f t="shared" si="53"/>
        <v>1.75</v>
      </c>
      <c r="P154" s="11">
        <f t="shared" si="54"/>
        <v>1.75</v>
      </c>
      <c r="Q154" s="11">
        <f t="shared" si="55"/>
        <v>1.75</v>
      </c>
      <c r="R154" s="11">
        <f t="shared" si="56"/>
        <v>1.6219000000000001</v>
      </c>
      <c r="S154" s="11">
        <f t="shared" si="57"/>
        <v>1.5082000000000002</v>
      </c>
      <c r="T154" s="8" t="s">
        <v>77</v>
      </c>
      <c r="U154" s="27"/>
    </row>
    <row r="155" spans="1:21" x14ac:dyDescent="0.25">
      <c r="A155" s="8">
        <v>152</v>
      </c>
      <c r="B155" s="8">
        <v>20.352900000000002</v>
      </c>
      <c r="C155" s="8">
        <v>84.537800000000004</v>
      </c>
      <c r="D155" s="3" t="s">
        <v>7</v>
      </c>
      <c r="E155" s="3">
        <v>3</v>
      </c>
      <c r="F155" s="8">
        <f t="shared" si="45"/>
        <v>2.75</v>
      </c>
      <c r="G155" s="3">
        <v>573.87800000000004</v>
      </c>
      <c r="H155" s="11">
        <f t="shared" si="46"/>
        <v>2.3809999999999998</v>
      </c>
      <c r="I155" s="11">
        <f t="shared" si="47"/>
        <v>2.2105999999999999</v>
      </c>
      <c r="J155" s="11">
        <f t="shared" si="48"/>
        <v>2.0125999999999999</v>
      </c>
      <c r="K155" s="11">
        <f t="shared" si="49"/>
        <v>1.8076999999999999</v>
      </c>
      <c r="L155" s="11">
        <f t="shared" si="50"/>
        <v>1.5682999999999998</v>
      </c>
      <c r="M155" s="11">
        <f t="shared" si="51"/>
        <v>2.75</v>
      </c>
      <c r="N155" s="11">
        <f t="shared" si="52"/>
        <v>2.75</v>
      </c>
      <c r="O155" s="11">
        <f t="shared" si="53"/>
        <v>2.75</v>
      </c>
      <c r="P155" s="11">
        <f t="shared" si="54"/>
        <v>2.75</v>
      </c>
      <c r="Q155" s="11">
        <f t="shared" si="55"/>
        <v>2.75</v>
      </c>
      <c r="R155" s="11">
        <f t="shared" si="56"/>
        <v>2.6219000000000001</v>
      </c>
      <c r="S155" s="11">
        <f t="shared" si="57"/>
        <v>2.5082</v>
      </c>
      <c r="T155" s="8" t="s">
        <v>88</v>
      </c>
      <c r="U155" s="27"/>
    </row>
    <row r="156" spans="1:21" x14ac:dyDescent="0.25">
      <c r="A156" s="8">
        <v>153</v>
      </c>
      <c r="B156" s="8">
        <v>20.352599999999999</v>
      </c>
      <c r="C156" s="8">
        <v>84.5381</v>
      </c>
      <c r="D156" s="3" t="s">
        <v>7</v>
      </c>
      <c r="E156" s="3">
        <v>3</v>
      </c>
      <c r="F156" s="8">
        <f t="shared" si="45"/>
        <v>2.75</v>
      </c>
      <c r="G156" s="3">
        <v>1318.6079999999999</v>
      </c>
      <c r="H156" s="11">
        <f t="shared" si="46"/>
        <v>2.3809999999999998</v>
      </c>
      <c r="I156" s="11">
        <f t="shared" si="47"/>
        <v>2.2105999999999999</v>
      </c>
      <c r="J156" s="11">
        <f t="shared" si="48"/>
        <v>2.0125999999999999</v>
      </c>
      <c r="K156" s="11">
        <f t="shared" si="49"/>
        <v>1.8076999999999999</v>
      </c>
      <c r="L156" s="11">
        <f t="shared" si="50"/>
        <v>1.5682999999999998</v>
      </c>
      <c r="M156" s="11">
        <f t="shared" si="51"/>
        <v>2.75</v>
      </c>
      <c r="N156" s="11">
        <f t="shared" si="52"/>
        <v>2.75</v>
      </c>
      <c r="O156" s="11">
        <f t="shared" si="53"/>
        <v>2.75</v>
      </c>
      <c r="P156" s="11">
        <f t="shared" si="54"/>
        <v>2.75</v>
      </c>
      <c r="Q156" s="11">
        <f t="shared" si="55"/>
        <v>2.75</v>
      </c>
      <c r="R156" s="11">
        <f t="shared" si="56"/>
        <v>2.6219000000000001</v>
      </c>
      <c r="S156" s="11">
        <f t="shared" si="57"/>
        <v>2.5082</v>
      </c>
      <c r="T156" s="8" t="s">
        <v>88</v>
      </c>
      <c r="U156" s="27"/>
    </row>
    <row r="157" spans="1:21" x14ac:dyDescent="0.25">
      <c r="A157" s="8">
        <v>154</v>
      </c>
      <c r="B157" s="8">
        <v>20.357199999999999</v>
      </c>
      <c r="C157" s="8">
        <v>84.538200000000003</v>
      </c>
      <c r="D157" s="3" t="s">
        <v>7</v>
      </c>
      <c r="E157" s="3">
        <v>4</v>
      </c>
      <c r="F157" s="8">
        <f t="shared" si="45"/>
        <v>3.75</v>
      </c>
      <c r="G157" s="3">
        <v>3704.7020000000002</v>
      </c>
      <c r="H157" s="11">
        <f t="shared" si="46"/>
        <v>3.3809999999999998</v>
      </c>
      <c r="I157" s="11">
        <f t="shared" si="47"/>
        <v>3.2105999999999999</v>
      </c>
      <c r="J157" s="11">
        <f t="shared" si="48"/>
        <v>3.0125999999999999</v>
      </c>
      <c r="K157" s="11">
        <f t="shared" si="49"/>
        <v>2.8077000000000001</v>
      </c>
      <c r="L157" s="11">
        <f t="shared" si="50"/>
        <v>2.5683000000000002</v>
      </c>
      <c r="M157" s="11">
        <f t="shared" si="51"/>
        <v>3.75</v>
      </c>
      <c r="N157" s="11">
        <f t="shared" si="52"/>
        <v>3.75</v>
      </c>
      <c r="O157" s="11">
        <f t="shared" si="53"/>
        <v>3.75</v>
      </c>
      <c r="P157" s="11">
        <f t="shared" si="54"/>
        <v>3.75</v>
      </c>
      <c r="Q157" s="11">
        <f t="shared" si="55"/>
        <v>3.75</v>
      </c>
      <c r="R157" s="11">
        <f t="shared" si="56"/>
        <v>3.6219000000000001</v>
      </c>
      <c r="S157" s="11">
        <f t="shared" si="57"/>
        <v>3.5082</v>
      </c>
      <c r="T157" s="8" t="s">
        <v>88</v>
      </c>
      <c r="U157" s="27"/>
    </row>
    <row r="158" spans="1:21" x14ac:dyDescent="0.25">
      <c r="A158" s="15">
        <v>155</v>
      </c>
      <c r="B158" s="8">
        <v>20.320509999999999</v>
      </c>
      <c r="C158" s="8">
        <v>84.52834</v>
      </c>
      <c r="D158" s="8" t="s">
        <v>42</v>
      </c>
      <c r="E158" s="8">
        <v>2.5</v>
      </c>
      <c r="F158" s="8">
        <f>E158-Daspalla_22!$Z$21</f>
        <v>2.25</v>
      </c>
      <c r="G158" s="11">
        <v>873.08920000000001</v>
      </c>
      <c r="H158" s="11">
        <f t="shared" ref="H158:H164" si="58">IF(S158-$AC$3&lt;0, 0, S158-$AC$3)</f>
        <v>1.881</v>
      </c>
      <c r="I158" s="11">
        <f t="shared" si="47"/>
        <v>1.7106000000000001</v>
      </c>
      <c r="J158" s="11">
        <f t="shared" si="48"/>
        <v>1.5126000000000002</v>
      </c>
      <c r="K158" s="11">
        <f t="shared" si="49"/>
        <v>1.3077000000000001</v>
      </c>
      <c r="L158" s="11">
        <f t="shared" si="50"/>
        <v>1.0683</v>
      </c>
      <c r="M158" s="11">
        <f t="shared" ref="M158:M164" si="59">F158</f>
        <v>2.25</v>
      </c>
      <c r="N158" s="11">
        <f t="shared" ref="N158:N164" si="60">F158</f>
        <v>2.25</v>
      </c>
      <c r="O158" s="11">
        <f t="shared" ref="O158:O164" si="61">F158</f>
        <v>2.25</v>
      </c>
      <c r="P158" s="11">
        <f t="shared" ref="P158:P164" si="62">F158</f>
        <v>2.25</v>
      </c>
      <c r="Q158" s="11">
        <f t="shared" ref="Q158:Q164" si="63">F158</f>
        <v>2.25</v>
      </c>
      <c r="R158" s="11">
        <f t="shared" si="56"/>
        <v>2.1219000000000001</v>
      </c>
      <c r="S158" s="11">
        <f t="shared" si="57"/>
        <v>2.0082</v>
      </c>
      <c r="T158" s="8" t="s">
        <v>79</v>
      </c>
      <c r="U158" s="27"/>
    </row>
    <row r="159" spans="1:21" x14ac:dyDescent="0.25">
      <c r="A159" s="15">
        <v>156</v>
      </c>
      <c r="B159" s="8">
        <v>20.36382</v>
      </c>
      <c r="C159" s="8">
        <v>84.504480000000001</v>
      </c>
      <c r="D159" s="8" t="s">
        <v>45</v>
      </c>
      <c r="E159" s="8">
        <v>3</v>
      </c>
      <c r="F159" s="8">
        <f>E159-Daspalla_22!$Z$21</f>
        <v>2.75</v>
      </c>
      <c r="G159" s="11">
        <v>1406.2539999999999</v>
      </c>
      <c r="H159" s="11">
        <f t="shared" si="58"/>
        <v>2.3809999999999998</v>
      </c>
      <c r="I159" s="11">
        <f t="shared" si="47"/>
        <v>2.2105999999999999</v>
      </c>
      <c r="J159" s="11">
        <f t="shared" si="48"/>
        <v>2.0125999999999999</v>
      </c>
      <c r="K159" s="11">
        <f t="shared" si="49"/>
        <v>1.8076999999999999</v>
      </c>
      <c r="L159" s="11">
        <f t="shared" si="50"/>
        <v>1.5682999999999998</v>
      </c>
      <c r="M159" s="11">
        <f t="shared" si="59"/>
        <v>2.75</v>
      </c>
      <c r="N159" s="11">
        <f t="shared" si="60"/>
        <v>2.75</v>
      </c>
      <c r="O159" s="11">
        <f t="shared" si="61"/>
        <v>2.75</v>
      </c>
      <c r="P159" s="11">
        <f t="shared" si="62"/>
        <v>2.75</v>
      </c>
      <c r="Q159" s="11">
        <f t="shared" si="63"/>
        <v>2.75</v>
      </c>
      <c r="R159" s="11">
        <f t="shared" si="56"/>
        <v>2.6219000000000001</v>
      </c>
      <c r="S159" s="11">
        <f t="shared" si="57"/>
        <v>2.5082</v>
      </c>
      <c r="T159" s="8" t="s">
        <v>77</v>
      </c>
      <c r="U159" s="27"/>
    </row>
    <row r="160" spans="1:21" x14ac:dyDescent="0.25">
      <c r="A160" s="15">
        <v>157</v>
      </c>
      <c r="B160" s="8">
        <v>20.365359999999999</v>
      </c>
      <c r="C160" s="8">
        <v>84.50094</v>
      </c>
      <c r="D160" s="8" t="s">
        <v>75</v>
      </c>
      <c r="E160" s="8">
        <v>2</v>
      </c>
      <c r="F160" s="8">
        <f>E160-Daspalla_22!$Z$21</f>
        <v>1.75</v>
      </c>
      <c r="G160" s="11">
        <v>2073.71</v>
      </c>
      <c r="H160" s="11">
        <f t="shared" si="58"/>
        <v>1.3810000000000002</v>
      </c>
      <c r="I160" s="11">
        <f t="shared" si="47"/>
        <v>1.2106000000000003</v>
      </c>
      <c r="J160" s="11">
        <f t="shared" si="48"/>
        <v>1.0126000000000004</v>
      </c>
      <c r="K160" s="11">
        <f t="shared" si="49"/>
        <v>0.80770000000000042</v>
      </c>
      <c r="L160" s="11">
        <f t="shared" si="50"/>
        <v>0.56830000000000047</v>
      </c>
      <c r="M160" s="11">
        <f t="shared" si="59"/>
        <v>1.75</v>
      </c>
      <c r="N160" s="11">
        <f t="shared" si="60"/>
        <v>1.75</v>
      </c>
      <c r="O160" s="11">
        <f t="shared" si="61"/>
        <v>1.75</v>
      </c>
      <c r="P160" s="11">
        <f t="shared" si="62"/>
        <v>1.75</v>
      </c>
      <c r="Q160" s="11">
        <f t="shared" si="63"/>
        <v>1.75</v>
      </c>
      <c r="R160" s="11">
        <f t="shared" si="56"/>
        <v>1.6219000000000001</v>
      </c>
      <c r="S160" s="11">
        <f t="shared" si="57"/>
        <v>1.5082000000000002</v>
      </c>
      <c r="T160" s="8" t="s">
        <v>77</v>
      </c>
      <c r="U160" s="27"/>
    </row>
    <row r="161" spans="1:21" x14ac:dyDescent="0.25">
      <c r="A161" s="15">
        <v>158</v>
      </c>
      <c r="B161" s="8">
        <v>20.395879999999998</v>
      </c>
      <c r="C161" s="8">
        <v>84.662610000000001</v>
      </c>
      <c r="D161" s="8" t="s">
        <v>47</v>
      </c>
      <c r="E161" s="8">
        <v>2</v>
      </c>
      <c r="F161" s="8">
        <f>E161-Daspalla_22!$Z$21</f>
        <v>1.75</v>
      </c>
      <c r="G161" s="11">
        <v>762.02110000000005</v>
      </c>
      <c r="H161" s="11">
        <f t="shared" si="58"/>
        <v>1.3810000000000002</v>
      </c>
      <c r="I161" s="11">
        <f t="shared" si="47"/>
        <v>1.2106000000000003</v>
      </c>
      <c r="J161" s="11">
        <f t="shared" si="48"/>
        <v>1.0126000000000004</v>
      </c>
      <c r="K161" s="11">
        <f t="shared" si="49"/>
        <v>0.80770000000000042</v>
      </c>
      <c r="L161" s="11">
        <f t="shared" si="50"/>
        <v>0.56830000000000047</v>
      </c>
      <c r="M161" s="11">
        <f t="shared" si="59"/>
        <v>1.75</v>
      </c>
      <c r="N161" s="11">
        <f t="shared" si="60"/>
        <v>1.75</v>
      </c>
      <c r="O161" s="11">
        <f t="shared" si="61"/>
        <v>1.75</v>
      </c>
      <c r="P161" s="11">
        <f t="shared" si="62"/>
        <v>1.75</v>
      </c>
      <c r="Q161" s="11">
        <f t="shared" si="63"/>
        <v>1.75</v>
      </c>
      <c r="R161" s="11">
        <f t="shared" si="56"/>
        <v>1.6219000000000001</v>
      </c>
      <c r="S161" s="11">
        <f t="shared" si="57"/>
        <v>1.5082000000000002</v>
      </c>
      <c r="T161" s="8" t="s">
        <v>76</v>
      </c>
      <c r="U161" s="27"/>
    </row>
    <row r="162" spans="1:21" x14ac:dyDescent="0.25">
      <c r="A162" s="15">
        <v>159</v>
      </c>
      <c r="B162" s="8">
        <v>20.334150000000001</v>
      </c>
      <c r="C162" s="8">
        <v>84.505870000000002</v>
      </c>
      <c r="D162" s="8" t="s">
        <v>44</v>
      </c>
      <c r="E162" s="8">
        <v>2.5</v>
      </c>
      <c r="F162" s="8">
        <f>E162-Daspalla_22!$Z$21</f>
        <v>2.25</v>
      </c>
      <c r="G162" s="11">
        <v>619.21420000000001</v>
      </c>
      <c r="H162" s="11">
        <f t="shared" si="58"/>
        <v>1.881</v>
      </c>
      <c r="I162" s="11">
        <f t="shared" si="47"/>
        <v>1.7106000000000001</v>
      </c>
      <c r="J162" s="11">
        <f t="shared" si="48"/>
        <v>1.5126000000000002</v>
      </c>
      <c r="K162" s="11">
        <f t="shared" si="49"/>
        <v>1.3077000000000001</v>
      </c>
      <c r="L162" s="11">
        <f t="shared" si="50"/>
        <v>1.0683</v>
      </c>
      <c r="M162" s="11">
        <f t="shared" si="59"/>
        <v>2.25</v>
      </c>
      <c r="N162" s="11">
        <f t="shared" si="60"/>
        <v>2.25</v>
      </c>
      <c r="O162" s="11">
        <f t="shared" si="61"/>
        <v>2.25</v>
      </c>
      <c r="P162" s="11">
        <f t="shared" si="62"/>
        <v>2.25</v>
      </c>
      <c r="Q162" s="11">
        <f t="shared" si="63"/>
        <v>2.25</v>
      </c>
      <c r="R162" s="11">
        <f t="shared" si="56"/>
        <v>2.1219000000000001</v>
      </c>
      <c r="S162" s="11">
        <f t="shared" si="57"/>
        <v>2.0082</v>
      </c>
      <c r="T162" s="8" t="s">
        <v>78</v>
      </c>
      <c r="U162" s="27"/>
    </row>
    <row r="163" spans="1:21" x14ac:dyDescent="0.25">
      <c r="A163" s="15">
        <v>160</v>
      </c>
      <c r="B163" s="8">
        <v>20.343530000000001</v>
      </c>
      <c r="C163" s="8">
        <v>84.490290000000002</v>
      </c>
      <c r="D163" s="8" t="s">
        <v>43</v>
      </c>
      <c r="E163" s="8">
        <v>2</v>
      </c>
      <c r="F163" s="8">
        <f>E163-Daspalla_22!$Z$21</f>
        <v>1.75</v>
      </c>
      <c r="G163" s="11">
        <v>324.28530000000001</v>
      </c>
      <c r="H163" s="11">
        <f t="shared" si="58"/>
        <v>1.3810000000000002</v>
      </c>
      <c r="I163" s="11">
        <f t="shared" si="47"/>
        <v>1.2106000000000003</v>
      </c>
      <c r="J163" s="11">
        <f t="shared" si="48"/>
        <v>1.0126000000000004</v>
      </c>
      <c r="K163" s="11">
        <f t="shared" si="49"/>
        <v>0.80770000000000042</v>
      </c>
      <c r="L163" s="11">
        <f t="shared" si="50"/>
        <v>0.56830000000000047</v>
      </c>
      <c r="M163" s="11">
        <f t="shared" si="59"/>
        <v>1.75</v>
      </c>
      <c r="N163" s="11">
        <f t="shared" si="60"/>
        <v>1.75</v>
      </c>
      <c r="O163" s="11">
        <f t="shared" si="61"/>
        <v>1.75</v>
      </c>
      <c r="P163" s="11">
        <f t="shared" si="62"/>
        <v>1.75</v>
      </c>
      <c r="Q163" s="11">
        <f t="shared" si="63"/>
        <v>1.75</v>
      </c>
      <c r="R163" s="11">
        <f t="shared" si="56"/>
        <v>1.6219000000000001</v>
      </c>
      <c r="S163" s="11">
        <f t="shared" si="57"/>
        <v>1.5082000000000002</v>
      </c>
      <c r="T163" s="8" t="s">
        <v>78</v>
      </c>
      <c r="U163" s="27"/>
    </row>
    <row r="164" spans="1:21" x14ac:dyDescent="0.25">
      <c r="A164" s="15">
        <v>161</v>
      </c>
      <c r="B164" s="8">
        <v>20.408390000000001</v>
      </c>
      <c r="C164" s="8">
        <v>84.656959999999998</v>
      </c>
      <c r="D164" s="8" t="s">
        <v>46</v>
      </c>
      <c r="E164" s="8">
        <v>2.5</v>
      </c>
      <c r="F164" s="8">
        <f>E164-Daspalla_22!$Z$21</f>
        <v>2.25</v>
      </c>
      <c r="G164" s="11">
        <v>281.42689999999999</v>
      </c>
      <c r="H164" s="11">
        <f t="shared" si="58"/>
        <v>1.881</v>
      </c>
      <c r="I164" s="11">
        <f t="shared" si="47"/>
        <v>1.7106000000000001</v>
      </c>
      <c r="J164" s="11">
        <f t="shared" si="48"/>
        <v>1.5126000000000002</v>
      </c>
      <c r="K164" s="11">
        <f t="shared" si="49"/>
        <v>1.3077000000000001</v>
      </c>
      <c r="L164" s="11">
        <f t="shared" si="50"/>
        <v>1.0683</v>
      </c>
      <c r="M164" s="11">
        <f t="shared" si="59"/>
        <v>2.25</v>
      </c>
      <c r="N164" s="11">
        <f t="shared" si="60"/>
        <v>2.25</v>
      </c>
      <c r="O164" s="11">
        <f t="shared" si="61"/>
        <v>2.25</v>
      </c>
      <c r="P164" s="11">
        <f t="shared" si="62"/>
        <v>2.25</v>
      </c>
      <c r="Q164" s="11">
        <f t="shared" si="63"/>
        <v>2.25</v>
      </c>
      <c r="R164" s="11">
        <f t="shared" si="56"/>
        <v>2.1219000000000001</v>
      </c>
      <c r="S164" s="11">
        <f t="shared" si="57"/>
        <v>2.0082</v>
      </c>
      <c r="T164" s="8" t="s">
        <v>76</v>
      </c>
      <c r="U164" s="27"/>
    </row>
    <row r="167" spans="1:21" x14ac:dyDescent="0.25">
      <c r="H167" s="13"/>
    </row>
    <row r="168" spans="1:21" x14ac:dyDescent="0.25">
      <c r="H168" s="13"/>
    </row>
    <row r="169" spans="1:21" x14ac:dyDescent="0.25">
      <c r="H169" s="13"/>
    </row>
    <row r="170" spans="1:21" x14ac:dyDescent="0.25">
      <c r="H170" s="13"/>
    </row>
    <row r="171" spans="1:21" x14ac:dyDescent="0.25">
      <c r="H171" s="13"/>
    </row>
    <row r="172" spans="1:21" x14ac:dyDescent="0.25">
      <c r="H172" s="13"/>
    </row>
    <row r="173" spans="1:21" x14ac:dyDescent="0.25">
      <c r="H173" s="13"/>
    </row>
  </sheetData>
  <mergeCells count="9">
    <mergeCell ref="T1:T2"/>
    <mergeCell ref="C1:C2"/>
    <mergeCell ref="B1:B2"/>
    <mergeCell ref="A1:A2"/>
    <mergeCell ref="F1:F2"/>
    <mergeCell ref="G1:G2"/>
    <mergeCell ref="H1:S1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F5CF-04F2-4A51-A73C-C61FD5FB36D9}">
  <dimension ref="A1:T172"/>
  <sheetViews>
    <sheetView topLeftCell="B1" workbookViewId="0">
      <selection activeCell="P23" sqref="P23"/>
    </sheetView>
  </sheetViews>
  <sheetFormatPr defaultRowHeight="15" x14ac:dyDescent="0.25"/>
  <cols>
    <col min="1" max="1" width="4" bestFit="1" customWidth="1"/>
    <col min="2" max="2" width="9" bestFit="1" customWidth="1"/>
    <col min="3" max="3" width="9.85546875" bestFit="1" customWidth="1"/>
    <col min="4" max="4" width="24.85546875" bestFit="1" customWidth="1"/>
    <col min="5" max="5" width="24.85546875" customWidth="1"/>
    <col min="6" max="6" width="10" bestFit="1" customWidth="1"/>
    <col min="7" max="8" width="9.5703125" bestFit="1" customWidth="1"/>
    <col min="9" max="10" width="10.5703125" bestFit="1" customWidth="1"/>
    <col min="11" max="11" width="11.5703125" bestFit="1" customWidth="1"/>
    <col min="12" max="13" width="12.5703125" bestFit="1" customWidth="1"/>
    <col min="14" max="14" width="13.7109375" bestFit="1" customWidth="1"/>
    <col min="15" max="16" width="14.7109375" bestFit="1" customWidth="1"/>
    <col min="17" max="17" width="15.7109375" bestFit="1" customWidth="1"/>
    <col min="18" max="18" width="16.7109375" bestFit="1" customWidth="1"/>
    <col min="19" max="19" width="13.28515625" bestFit="1" customWidth="1"/>
    <col min="20" max="20" width="16.140625" bestFit="1" customWidth="1"/>
  </cols>
  <sheetData>
    <row r="1" spans="1:20" x14ac:dyDescent="0.25">
      <c r="A1" s="42" t="s">
        <v>49</v>
      </c>
      <c r="B1" s="42" t="s">
        <v>51</v>
      </c>
      <c r="C1" s="42" t="s">
        <v>50</v>
      </c>
      <c r="D1" s="42" t="s">
        <v>0</v>
      </c>
      <c r="E1" s="44" t="s">
        <v>92</v>
      </c>
      <c r="F1" s="42" t="s">
        <v>4</v>
      </c>
      <c r="G1" s="46" t="s">
        <v>35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2" t="s">
        <v>64</v>
      </c>
      <c r="T1" s="42" t="s">
        <v>65</v>
      </c>
    </row>
    <row r="2" spans="1:20" x14ac:dyDescent="0.25">
      <c r="A2" s="42"/>
      <c r="B2" s="42"/>
      <c r="C2" s="42"/>
      <c r="D2" s="42"/>
      <c r="E2" s="45"/>
      <c r="F2" s="42"/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42"/>
      <c r="T2" s="42"/>
    </row>
    <row r="3" spans="1:20" x14ac:dyDescent="0.25">
      <c r="A3" s="8">
        <v>0</v>
      </c>
      <c r="B3" s="8">
        <v>20.3248</v>
      </c>
      <c r="C3" s="8">
        <v>84.477999999999994</v>
      </c>
      <c r="D3" s="3" t="s">
        <v>7</v>
      </c>
      <c r="E3" s="19" t="s">
        <v>93</v>
      </c>
      <c r="F3" s="3">
        <v>317.35399999999998</v>
      </c>
      <c r="G3" s="11">
        <f>$F3*Daspalla_22!H3</f>
        <v>438.26587400000005</v>
      </c>
      <c r="H3" s="11">
        <f>$F3*Daspalla_22!I3</f>
        <v>384.18875240000011</v>
      </c>
      <c r="I3" s="11">
        <f>$F3*Daspalla_22!J3</f>
        <v>321.3526604000001</v>
      </c>
      <c r="J3" s="11">
        <f>$F3*Daspalla_22!K3</f>
        <v>256.32682580000011</v>
      </c>
      <c r="K3" s="11">
        <f>$F3*Daspalla_22!L3</f>
        <v>180.35227820000014</v>
      </c>
      <c r="L3" s="11">
        <f>$F3*Daspalla_22!M3</f>
        <v>555.36950000000002</v>
      </c>
      <c r="M3" s="11">
        <f>$F3*Daspalla_22!N3</f>
        <v>555.36950000000002</v>
      </c>
      <c r="N3" s="11">
        <f>$F3*Daspalla_22!O3</f>
        <v>555.36950000000002</v>
      </c>
      <c r="O3" s="11">
        <f>$F3*Daspalla_22!P3</f>
        <v>555.36950000000002</v>
      </c>
      <c r="P3" s="11">
        <f>$F3*Daspalla_22!Q3</f>
        <v>555.36950000000002</v>
      </c>
      <c r="Q3" s="11">
        <f>$F3*Daspalla_22!R3</f>
        <v>514.71645260000003</v>
      </c>
      <c r="R3" s="11">
        <f>$F3*Daspalla_22!S3</f>
        <v>478.63330280000002</v>
      </c>
      <c r="S3" s="8" t="s">
        <v>78</v>
      </c>
      <c r="T3" s="21">
        <v>407010304070203</v>
      </c>
    </row>
    <row r="4" spans="1:20" x14ac:dyDescent="0.25">
      <c r="A4" s="8">
        <v>1</v>
      </c>
      <c r="B4" s="8">
        <v>20.329699999999999</v>
      </c>
      <c r="C4" s="8">
        <v>84.485699999999994</v>
      </c>
      <c r="D4" s="3" t="s">
        <v>7</v>
      </c>
      <c r="E4" s="19" t="s">
        <v>93</v>
      </c>
      <c r="F4" s="3">
        <v>340.00200000000001</v>
      </c>
      <c r="G4" s="11">
        <f>$F4*Daspalla_22!H4</f>
        <v>469.5427620000001</v>
      </c>
      <c r="H4" s="11">
        <f>$F4*Daspalla_22!I4</f>
        <v>411.60642120000011</v>
      </c>
      <c r="I4" s="11">
        <f>$F4*Daspalla_22!J4</f>
        <v>344.28602520000015</v>
      </c>
      <c r="J4" s="11">
        <f>$F4*Daspalla_22!K4</f>
        <v>274.61961540000016</v>
      </c>
      <c r="K4" s="11">
        <f>$F4*Daspalla_22!L4</f>
        <v>193.22313660000017</v>
      </c>
      <c r="L4" s="11">
        <f>$F4*Daspalla_22!M4</f>
        <v>595.00350000000003</v>
      </c>
      <c r="M4" s="11">
        <f>$F4*Daspalla_22!N4</f>
        <v>595.00350000000003</v>
      </c>
      <c r="N4" s="11">
        <f>$F4*Daspalla_22!O4</f>
        <v>595.00350000000003</v>
      </c>
      <c r="O4" s="11">
        <f>$F4*Daspalla_22!P4</f>
        <v>595.00350000000003</v>
      </c>
      <c r="P4" s="11">
        <f>$F4*Daspalla_22!Q4</f>
        <v>595.00350000000003</v>
      </c>
      <c r="Q4" s="11">
        <f>$F4*Daspalla_22!R4</f>
        <v>551.44924380000009</v>
      </c>
      <c r="R4" s="11">
        <f>$F4*Daspalla_22!S4</f>
        <v>512.7910164000001</v>
      </c>
      <c r="S4" s="8" t="s">
        <v>78</v>
      </c>
      <c r="T4" s="21">
        <v>407010304070203</v>
      </c>
    </row>
    <row r="5" spans="1:20" x14ac:dyDescent="0.25">
      <c r="A5" s="8">
        <v>2</v>
      </c>
      <c r="B5" s="8">
        <v>20.329599999999999</v>
      </c>
      <c r="C5" s="8">
        <v>84.484099999999998</v>
      </c>
      <c r="D5" s="3" t="s">
        <v>7</v>
      </c>
      <c r="E5" s="19" t="s">
        <v>93</v>
      </c>
      <c r="F5" s="3">
        <v>330.18099999999998</v>
      </c>
      <c r="G5" s="11">
        <f>$F5*Daspalla_22!H5</f>
        <v>455.97996100000006</v>
      </c>
      <c r="H5" s="11">
        <f>$F5*Daspalla_22!I5</f>
        <v>399.71711860000011</v>
      </c>
      <c r="I5" s="11">
        <f>$F5*Daspalla_22!J5</f>
        <v>334.34128060000012</v>
      </c>
      <c r="J5" s="11">
        <f>$F5*Daspalla_22!K5</f>
        <v>266.68719370000014</v>
      </c>
      <c r="K5" s="11">
        <f>$F5*Daspalla_22!L5</f>
        <v>187.64186230000016</v>
      </c>
      <c r="L5" s="11">
        <f>$F5*Daspalla_22!M5</f>
        <v>577.81674999999996</v>
      </c>
      <c r="M5" s="11">
        <f>$F5*Daspalla_22!N5</f>
        <v>577.81674999999996</v>
      </c>
      <c r="N5" s="11">
        <f>$F5*Daspalla_22!O5</f>
        <v>577.81674999999996</v>
      </c>
      <c r="O5" s="11">
        <f>$F5*Daspalla_22!P5</f>
        <v>577.81674999999996</v>
      </c>
      <c r="P5" s="11">
        <f>$F5*Daspalla_22!Q5</f>
        <v>577.81674999999996</v>
      </c>
      <c r="Q5" s="11">
        <f>$F5*Daspalla_22!R5</f>
        <v>535.52056389999996</v>
      </c>
      <c r="R5" s="11">
        <f>$F5*Daspalla_22!S5</f>
        <v>497.97898420000007</v>
      </c>
      <c r="S5" s="8" t="s">
        <v>78</v>
      </c>
      <c r="T5" s="21">
        <v>407010304070203</v>
      </c>
    </row>
    <row r="6" spans="1:20" x14ac:dyDescent="0.25">
      <c r="A6" s="8">
        <v>3</v>
      </c>
      <c r="B6" s="8">
        <v>20.329699999999999</v>
      </c>
      <c r="C6" s="8">
        <v>84.4833</v>
      </c>
      <c r="D6" s="3" t="s">
        <v>7</v>
      </c>
      <c r="E6" s="19" t="s">
        <v>93</v>
      </c>
      <c r="F6" s="3">
        <v>406.12200000000001</v>
      </c>
      <c r="G6" s="11">
        <f>$F6*Daspalla_22!H6</f>
        <v>560.85448200000008</v>
      </c>
      <c r="H6" s="11">
        <f>$F6*Daspalla_22!I6</f>
        <v>491.65129320000017</v>
      </c>
      <c r="I6" s="11">
        <f>$F6*Daspalla_22!J6</f>
        <v>411.23913720000019</v>
      </c>
      <c r="J6" s="11">
        <f>$F6*Daspalla_22!K6</f>
        <v>328.02473940000016</v>
      </c>
      <c r="K6" s="11">
        <f>$F6*Daspalla_22!L6</f>
        <v>230.79913260000021</v>
      </c>
      <c r="L6" s="11">
        <f>$F6*Daspalla_22!M6</f>
        <v>710.71350000000007</v>
      </c>
      <c r="M6" s="11">
        <f>$F6*Daspalla_22!N6</f>
        <v>710.71350000000007</v>
      </c>
      <c r="N6" s="11">
        <f>$F6*Daspalla_22!O6</f>
        <v>710.71350000000007</v>
      </c>
      <c r="O6" s="11">
        <f>$F6*Daspalla_22!P6</f>
        <v>710.71350000000007</v>
      </c>
      <c r="P6" s="11">
        <f>$F6*Daspalla_22!Q6</f>
        <v>710.71350000000007</v>
      </c>
      <c r="Q6" s="11">
        <f>$F6*Daspalla_22!R6</f>
        <v>658.68927180000003</v>
      </c>
      <c r="R6" s="11">
        <f>$F6*Daspalla_22!S6</f>
        <v>612.51320040000007</v>
      </c>
      <c r="S6" s="8" t="s">
        <v>78</v>
      </c>
      <c r="T6" s="21">
        <v>407010304070203</v>
      </c>
    </row>
    <row r="7" spans="1:20" x14ac:dyDescent="0.25">
      <c r="A7" s="8">
        <v>4</v>
      </c>
      <c r="B7" s="8">
        <v>20.333100000000002</v>
      </c>
      <c r="C7" s="8">
        <v>84.488699999999994</v>
      </c>
      <c r="D7" s="3" t="s">
        <v>7</v>
      </c>
      <c r="E7" s="19" t="s">
        <v>93</v>
      </c>
      <c r="F7" s="3">
        <v>3052.328</v>
      </c>
      <c r="G7" s="11">
        <f>$F7*Daspalla_22!H7</f>
        <v>7267.592967999999</v>
      </c>
      <c r="H7" s="11">
        <f>$F7*Daspalla_22!I7</f>
        <v>6747.4762768000001</v>
      </c>
      <c r="I7" s="11">
        <f>$F7*Daspalla_22!J7</f>
        <v>6143.1153328</v>
      </c>
      <c r="J7" s="11">
        <f>$F7*Daspalla_22!K7</f>
        <v>5517.6933255999993</v>
      </c>
      <c r="K7" s="11">
        <f>$F7*Daspalla_22!L7</f>
        <v>4786.9660023999995</v>
      </c>
      <c r="L7" s="11">
        <f>$F7*Daspalla_22!M7</f>
        <v>8393.902</v>
      </c>
      <c r="M7" s="11">
        <f>$F7*Daspalla_22!N7</f>
        <v>8393.902</v>
      </c>
      <c r="N7" s="11">
        <f>$F7*Daspalla_22!O7</f>
        <v>8393.902</v>
      </c>
      <c r="O7" s="11">
        <f>$F7*Daspalla_22!P7</f>
        <v>8393.902</v>
      </c>
      <c r="P7" s="11">
        <f>$F7*Daspalla_22!Q7</f>
        <v>8393.902</v>
      </c>
      <c r="Q7" s="11">
        <f>$F7*Daspalla_22!R7</f>
        <v>8002.8987832000003</v>
      </c>
      <c r="R7" s="11">
        <f>$F7*Daspalla_22!S7</f>
        <v>7655.8490896000003</v>
      </c>
      <c r="S7" s="8" t="s">
        <v>78</v>
      </c>
      <c r="T7" s="21">
        <v>407010304070203</v>
      </c>
    </row>
    <row r="8" spans="1:20" x14ac:dyDescent="0.25">
      <c r="A8" s="8">
        <v>5</v>
      </c>
      <c r="B8" s="8">
        <v>20.332799999999999</v>
      </c>
      <c r="C8" s="8">
        <v>84.4876</v>
      </c>
      <c r="D8" s="3" t="s">
        <v>7</v>
      </c>
      <c r="E8" s="19" t="s">
        <v>93</v>
      </c>
      <c r="F8" s="3">
        <v>2333.8240000000001</v>
      </c>
      <c r="G8" s="11">
        <f>$F8*Daspalla_22!H8</f>
        <v>5556.8349439999993</v>
      </c>
      <c r="H8" s="11">
        <f>$F8*Daspalla_22!I8</f>
        <v>5159.1513343999995</v>
      </c>
      <c r="I8" s="11">
        <f>$F8*Daspalla_22!J8</f>
        <v>4697.0541824000002</v>
      </c>
      <c r="J8" s="11">
        <f>$F8*Daspalla_22!K8</f>
        <v>4218.8536447999995</v>
      </c>
      <c r="K8" s="11">
        <f>$F8*Daspalla_22!L8</f>
        <v>3660.1361791999998</v>
      </c>
      <c r="L8" s="11">
        <f>$F8*Daspalla_22!M8</f>
        <v>6418.0160000000005</v>
      </c>
      <c r="M8" s="11">
        <f>$F8*Daspalla_22!N8</f>
        <v>6418.0160000000005</v>
      </c>
      <c r="N8" s="11">
        <f>$F8*Daspalla_22!O8</f>
        <v>6418.0160000000005</v>
      </c>
      <c r="O8" s="11">
        <f>$F8*Daspalla_22!P8</f>
        <v>6418.0160000000005</v>
      </c>
      <c r="P8" s="11">
        <f>$F8*Daspalla_22!Q8</f>
        <v>6418.0160000000005</v>
      </c>
      <c r="Q8" s="11">
        <f>$F8*Daspalla_22!R8</f>
        <v>6119.0531456000008</v>
      </c>
      <c r="R8" s="11">
        <f>$F8*Daspalla_22!S8</f>
        <v>5853.6973568000003</v>
      </c>
      <c r="S8" s="8" t="s">
        <v>78</v>
      </c>
      <c r="T8" s="21">
        <v>407010304070203</v>
      </c>
    </row>
    <row r="9" spans="1:20" x14ac:dyDescent="0.25">
      <c r="A9" s="8">
        <v>6</v>
      </c>
      <c r="B9" s="8">
        <v>20.333600000000001</v>
      </c>
      <c r="C9" s="8">
        <v>84.484099999999998</v>
      </c>
      <c r="D9" s="3" t="s">
        <v>7</v>
      </c>
      <c r="E9" s="19" t="s">
        <v>93</v>
      </c>
      <c r="F9" s="3">
        <v>1814.6790000000001</v>
      </c>
      <c r="G9" s="11">
        <f>$F9*Daspalla_22!H9</f>
        <v>4320.7506990000002</v>
      </c>
      <c r="H9" s="11">
        <f>$F9*Daspalla_22!I9</f>
        <v>4011.5293974000001</v>
      </c>
      <c r="I9" s="11">
        <f>$F9*Daspalla_22!J9</f>
        <v>3652.2229554</v>
      </c>
      <c r="J9" s="11">
        <f>$F9*Daspalla_22!K9</f>
        <v>3280.3952282999999</v>
      </c>
      <c r="K9" s="11">
        <f>$F9*Daspalla_22!L9</f>
        <v>2845.9610756999996</v>
      </c>
      <c r="L9" s="11">
        <f>$F9*Daspalla_22!M9</f>
        <v>4990.3672500000002</v>
      </c>
      <c r="M9" s="11">
        <f>$F9*Daspalla_22!N9</f>
        <v>4990.3672500000002</v>
      </c>
      <c r="N9" s="11">
        <f>$F9*Daspalla_22!O9</f>
        <v>4990.3672500000002</v>
      </c>
      <c r="O9" s="11">
        <f>$F9*Daspalla_22!P9</f>
        <v>4990.3672500000002</v>
      </c>
      <c r="P9" s="11">
        <f>$F9*Daspalla_22!Q9</f>
        <v>4990.3672500000002</v>
      </c>
      <c r="Q9" s="11">
        <f>$F9*Daspalla_22!R9</f>
        <v>4757.9068701000006</v>
      </c>
      <c r="R9" s="11">
        <f>$F9*Daspalla_22!S9</f>
        <v>4551.5778678000006</v>
      </c>
      <c r="S9" s="8" t="s">
        <v>78</v>
      </c>
      <c r="T9" s="21">
        <v>407010304070203</v>
      </c>
    </row>
    <row r="10" spans="1:20" x14ac:dyDescent="0.25">
      <c r="A10" s="8">
        <v>7</v>
      </c>
      <c r="B10" s="8">
        <v>20.334800000000001</v>
      </c>
      <c r="C10" s="8">
        <v>84.484099999999998</v>
      </c>
      <c r="D10" s="3" t="s">
        <v>7</v>
      </c>
      <c r="E10" s="19" t="s">
        <v>93</v>
      </c>
      <c r="F10" s="3">
        <v>2210.277</v>
      </c>
      <c r="G10" s="11">
        <f>$F10*Daspalla_22!H10</f>
        <v>5262.6695369999998</v>
      </c>
      <c r="H10" s="11">
        <f>$F10*Daspalla_22!I10</f>
        <v>4886.0383362000002</v>
      </c>
      <c r="I10" s="11">
        <f>$F10*Daspalla_22!J10</f>
        <v>4448.4034902000003</v>
      </c>
      <c r="J10" s="11">
        <f>$F10*Daspalla_22!K10</f>
        <v>3995.5177328999998</v>
      </c>
      <c r="K10" s="11">
        <f>$F10*Daspalla_22!L10</f>
        <v>3466.3774190999998</v>
      </c>
      <c r="L10" s="11">
        <f>$F10*Daspalla_22!M10</f>
        <v>6078.2617499999997</v>
      </c>
      <c r="M10" s="11">
        <f>$F10*Daspalla_22!N10</f>
        <v>6078.2617499999997</v>
      </c>
      <c r="N10" s="11">
        <f>$F10*Daspalla_22!O10</f>
        <v>6078.2617499999997</v>
      </c>
      <c r="O10" s="11">
        <f>$F10*Daspalla_22!P10</f>
        <v>6078.2617499999997</v>
      </c>
      <c r="P10" s="11">
        <f>$F10*Daspalla_22!Q10</f>
        <v>6078.2617499999997</v>
      </c>
      <c r="Q10" s="11">
        <f>$F10*Daspalla_22!R10</f>
        <v>5795.1252663000005</v>
      </c>
      <c r="R10" s="11">
        <f>$F10*Daspalla_22!S10</f>
        <v>5543.8167714000001</v>
      </c>
      <c r="S10" s="8" t="s">
        <v>78</v>
      </c>
      <c r="T10" s="21">
        <v>407010304070203</v>
      </c>
    </row>
    <row r="11" spans="1:20" x14ac:dyDescent="0.25">
      <c r="A11" s="8">
        <v>8</v>
      </c>
      <c r="B11" s="8">
        <v>20.330300000000001</v>
      </c>
      <c r="C11" s="8">
        <v>84.492599999999996</v>
      </c>
      <c r="D11" s="3" t="s">
        <v>7</v>
      </c>
      <c r="E11" s="19" t="s">
        <v>93</v>
      </c>
      <c r="F11" s="3">
        <v>919.38</v>
      </c>
      <c r="G11" s="11">
        <f>$F11*Daspalla_22!H11</f>
        <v>1729.3537799999999</v>
      </c>
      <c r="H11" s="11">
        <f>$F11*Daspalla_22!I11</f>
        <v>1572.6914280000001</v>
      </c>
      <c r="I11" s="11">
        <f>$F11*Daspalla_22!J11</f>
        <v>1390.6541880000002</v>
      </c>
      <c r="J11" s="11">
        <f>$F11*Daspalla_22!K11</f>
        <v>1202.273226</v>
      </c>
      <c r="K11" s="11">
        <f>$F11*Daspalla_22!L11</f>
        <v>982.17365400000006</v>
      </c>
      <c r="L11" s="11">
        <f>$F11*Daspalla_22!M11</f>
        <v>2068.605</v>
      </c>
      <c r="M11" s="11">
        <f>$F11*Daspalla_22!N11</f>
        <v>2068.605</v>
      </c>
      <c r="N11" s="11">
        <f>$F11*Daspalla_22!O11</f>
        <v>2068.605</v>
      </c>
      <c r="O11" s="11">
        <f>$F11*Daspalla_22!P11</f>
        <v>2068.605</v>
      </c>
      <c r="P11" s="11">
        <f>$F11*Daspalla_22!Q11</f>
        <v>2068.605</v>
      </c>
      <c r="Q11" s="11">
        <f>$F11*Daspalla_22!R11</f>
        <v>1950.8324220000002</v>
      </c>
      <c r="R11" s="11">
        <f>$F11*Daspalla_22!S11</f>
        <v>1846.298916</v>
      </c>
      <c r="S11" s="8" t="s">
        <v>78</v>
      </c>
      <c r="T11" s="21">
        <v>407010304070203</v>
      </c>
    </row>
    <row r="12" spans="1:20" x14ac:dyDescent="0.25">
      <c r="A12" s="8">
        <v>9</v>
      </c>
      <c r="B12" s="8">
        <v>20.330100000000002</v>
      </c>
      <c r="C12" s="8">
        <v>84.492999999999995</v>
      </c>
      <c r="D12" s="3" t="s">
        <v>7</v>
      </c>
      <c r="E12" s="19" t="s">
        <v>93</v>
      </c>
      <c r="F12" s="3">
        <v>860.88099999999997</v>
      </c>
      <c r="G12" s="11">
        <f>$F12*Daspalla_22!H12</f>
        <v>1619.3171609999999</v>
      </c>
      <c r="H12" s="11">
        <f>$F12*Daspalla_22!I12</f>
        <v>1472.6230386</v>
      </c>
      <c r="I12" s="11">
        <f>$F12*Daspalla_22!J12</f>
        <v>1302.1686006</v>
      </c>
      <c r="J12" s="11">
        <f>$F12*Daspalla_22!K12</f>
        <v>1125.7740837000001</v>
      </c>
      <c r="K12" s="11">
        <f>$F12*Daspalla_22!L12</f>
        <v>919.6791723</v>
      </c>
      <c r="L12" s="11">
        <f>$F12*Daspalla_22!M12</f>
        <v>1936.98225</v>
      </c>
      <c r="M12" s="11">
        <f>$F12*Daspalla_22!N12</f>
        <v>1936.98225</v>
      </c>
      <c r="N12" s="11">
        <f>$F12*Daspalla_22!O12</f>
        <v>1936.98225</v>
      </c>
      <c r="O12" s="11">
        <f>$F12*Daspalla_22!P12</f>
        <v>1936.98225</v>
      </c>
      <c r="P12" s="11">
        <f>$F12*Daspalla_22!Q12</f>
        <v>1936.98225</v>
      </c>
      <c r="Q12" s="11">
        <f>$F12*Daspalla_22!R12</f>
        <v>1826.7033939</v>
      </c>
      <c r="R12" s="11">
        <f>$F12*Daspalla_22!S12</f>
        <v>1728.8212242</v>
      </c>
      <c r="S12" s="8" t="s">
        <v>78</v>
      </c>
      <c r="T12" s="21">
        <v>407010304070203</v>
      </c>
    </row>
    <row r="13" spans="1:20" x14ac:dyDescent="0.25">
      <c r="A13" s="8">
        <v>10</v>
      </c>
      <c r="B13" s="8">
        <v>20.3277</v>
      </c>
      <c r="C13" s="8">
        <v>84.4953</v>
      </c>
      <c r="D13" s="3" t="s">
        <v>7</v>
      </c>
      <c r="E13" s="19" t="s">
        <v>93</v>
      </c>
      <c r="F13" s="3">
        <v>4300.1930000000002</v>
      </c>
      <c r="G13" s="11">
        <f>$F13*Daspalla_22!H13</f>
        <v>14538.952533</v>
      </c>
      <c r="H13" s="11">
        <f>$F13*Daspalla_22!I13</f>
        <v>13806.199645799999</v>
      </c>
      <c r="I13" s="11">
        <f>$F13*Daspalla_22!J13</f>
        <v>12954.7614318</v>
      </c>
      <c r="J13" s="11">
        <f>$F13*Daspalla_22!K13</f>
        <v>12073.6518861</v>
      </c>
      <c r="K13" s="11">
        <f>$F13*Daspalla_22!L13</f>
        <v>11044.185681900002</v>
      </c>
      <c r="L13" s="11">
        <f>$F13*Daspalla_22!M13</f>
        <v>16125.723750000001</v>
      </c>
      <c r="M13" s="11">
        <f>$F13*Daspalla_22!N13</f>
        <v>16125.723750000001</v>
      </c>
      <c r="N13" s="11">
        <f>$F13*Daspalla_22!O13</f>
        <v>16125.723750000001</v>
      </c>
      <c r="O13" s="11">
        <f>$F13*Daspalla_22!P13</f>
        <v>16125.723750000001</v>
      </c>
      <c r="P13" s="11">
        <f>$F13*Daspalla_22!Q13</f>
        <v>16125.723750000001</v>
      </c>
      <c r="Q13" s="11">
        <f>$F13*Daspalla_22!R13</f>
        <v>15574.869026700002</v>
      </c>
      <c r="R13" s="11">
        <f>$F13*Daspalla_22!S13</f>
        <v>15085.937082600001</v>
      </c>
      <c r="S13" s="8" t="s">
        <v>78</v>
      </c>
      <c r="T13" s="21">
        <v>407010304070203</v>
      </c>
    </row>
    <row r="14" spans="1:20" x14ac:dyDescent="0.25">
      <c r="A14" s="8">
        <v>11</v>
      </c>
      <c r="B14" s="8">
        <v>20.328199999999999</v>
      </c>
      <c r="C14" s="8">
        <v>84.495699999999999</v>
      </c>
      <c r="D14" s="3" t="s">
        <v>7</v>
      </c>
      <c r="E14" s="19" t="s">
        <v>93</v>
      </c>
      <c r="F14" s="3">
        <v>416.87799999999999</v>
      </c>
      <c r="G14" s="11">
        <f>$F14*Daspalla_22!H14</f>
        <v>575.70851800000003</v>
      </c>
      <c r="H14" s="11">
        <f>$F14*Daspalla_22!I14</f>
        <v>504.67250680000012</v>
      </c>
      <c r="I14" s="11">
        <f>$F14*Daspalla_22!J14</f>
        <v>422.13066280000015</v>
      </c>
      <c r="J14" s="11">
        <f>$F14*Daspalla_22!K14</f>
        <v>336.71236060000018</v>
      </c>
      <c r="K14" s="11">
        <f>$F14*Daspalla_22!L14</f>
        <v>236.9117674000002</v>
      </c>
      <c r="L14" s="11">
        <f>$F14*Daspalla_22!M14</f>
        <v>729.53649999999993</v>
      </c>
      <c r="M14" s="11">
        <f>$F14*Daspalla_22!N14</f>
        <v>729.53649999999993</v>
      </c>
      <c r="N14" s="11">
        <f>$F14*Daspalla_22!O14</f>
        <v>729.53649999999993</v>
      </c>
      <c r="O14" s="11">
        <f>$F14*Daspalla_22!P14</f>
        <v>729.53649999999993</v>
      </c>
      <c r="P14" s="11">
        <f>$F14*Daspalla_22!Q14</f>
        <v>729.53649999999993</v>
      </c>
      <c r="Q14" s="11">
        <f>$F14*Daspalla_22!R14</f>
        <v>676.1344282</v>
      </c>
      <c r="R14" s="11">
        <f>$F14*Daspalla_22!S14</f>
        <v>628.73539960000005</v>
      </c>
      <c r="S14" s="8" t="s">
        <v>78</v>
      </c>
      <c r="T14" s="21">
        <v>407010304070203</v>
      </c>
    </row>
    <row r="15" spans="1:20" x14ac:dyDescent="0.25">
      <c r="A15" s="8">
        <v>12</v>
      </c>
      <c r="B15" s="8">
        <v>20.3278</v>
      </c>
      <c r="C15" s="8">
        <v>84.495800000000003</v>
      </c>
      <c r="D15" s="3" t="s">
        <v>7</v>
      </c>
      <c r="E15" s="19" t="s">
        <v>93</v>
      </c>
      <c r="F15" s="3">
        <v>566.22400000000005</v>
      </c>
      <c r="G15" s="11">
        <f>$F15*Daspalla_22!H15</f>
        <v>781.9553440000002</v>
      </c>
      <c r="H15" s="11">
        <f>$F15*Daspalla_22!I15</f>
        <v>685.47077440000021</v>
      </c>
      <c r="I15" s="11">
        <f>$F15*Daspalla_22!J15</f>
        <v>573.35842240000022</v>
      </c>
      <c r="J15" s="11">
        <f>$F15*Daspalla_22!K15</f>
        <v>457.33912480000026</v>
      </c>
      <c r="K15" s="11">
        <f>$F15*Daspalla_22!L15</f>
        <v>321.78509920000027</v>
      </c>
      <c r="L15" s="11">
        <f>$F15*Daspalla_22!M15</f>
        <v>990.89200000000005</v>
      </c>
      <c r="M15" s="11">
        <f>$F15*Daspalla_22!N15</f>
        <v>990.89200000000005</v>
      </c>
      <c r="N15" s="11">
        <f>$F15*Daspalla_22!O15</f>
        <v>990.89200000000005</v>
      </c>
      <c r="O15" s="11">
        <f>$F15*Daspalla_22!P15</f>
        <v>990.89200000000005</v>
      </c>
      <c r="P15" s="11">
        <f>$F15*Daspalla_22!Q15</f>
        <v>990.89200000000005</v>
      </c>
      <c r="Q15" s="11">
        <f>$F15*Daspalla_22!R15</f>
        <v>918.35870560000012</v>
      </c>
      <c r="R15" s="11">
        <f>$F15*Daspalla_22!S15</f>
        <v>853.97903680000013</v>
      </c>
      <c r="S15" s="8" t="s">
        <v>78</v>
      </c>
      <c r="T15" s="21">
        <v>407010304070203</v>
      </c>
    </row>
    <row r="16" spans="1:20" x14ac:dyDescent="0.25">
      <c r="A16" s="8">
        <v>13</v>
      </c>
      <c r="B16" s="8">
        <v>20.320599999999999</v>
      </c>
      <c r="C16" s="8">
        <v>84.495900000000006</v>
      </c>
      <c r="D16" s="3" t="s">
        <v>7</v>
      </c>
      <c r="E16" s="19" t="s">
        <v>93</v>
      </c>
      <c r="F16" s="3">
        <v>1605.787</v>
      </c>
      <c r="G16" s="11">
        <f>$F16*Daspalla_22!H16</f>
        <v>3823.378847</v>
      </c>
      <c r="H16" s="11">
        <f>$F16*Daspalla_22!I16</f>
        <v>3549.7527421999998</v>
      </c>
      <c r="I16" s="11">
        <f>$F16*Daspalla_22!J16</f>
        <v>3231.8069162000002</v>
      </c>
      <c r="J16" s="11">
        <f>$F16*Daspalla_22!K16</f>
        <v>2902.7811598999997</v>
      </c>
      <c r="K16" s="11">
        <f>$F16*Daspalla_22!L16</f>
        <v>2518.3557520999998</v>
      </c>
      <c r="L16" s="11">
        <f>$F16*Daspalla_22!M16</f>
        <v>4415.9142499999998</v>
      </c>
      <c r="M16" s="11">
        <f>$F16*Daspalla_22!N16</f>
        <v>4415.9142499999998</v>
      </c>
      <c r="N16" s="11">
        <f>$F16*Daspalla_22!O16</f>
        <v>4415.9142499999998</v>
      </c>
      <c r="O16" s="11">
        <f>$F16*Daspalla_22!P16</f>
        <v>4415.9142499999998</v>
      </c>
      <c r="P16" s="11">
        <f>$F16*Daspalla_22!Q16</f>
        <v>4415.9142499999998</v>
      </c>
      <c r="Q16" s="11">
        <f>$F16*Daspalla_22!R16</f>
        <v>4210.2129353</v>
      </c>
      <c r="R16" s="11">
        <f>$F16*Daspalla_22!S16</f>
        <v>4027.6349534000001</v>
      </c>
      <c r="S16" s="8" t="s">
        <v>78</v>
      </c>
      <c r="T16" s="21">
        <v>407010304070203</v>
      </c>
    </row>
    <row r="17" spans="1:20" x14ac:dyDescent="0.25">
      <c r="A17" s="8">
        <v>14</v>
      </c>
      <c r="B17" s="8">
        <v>20.329699999999999</v>
      </c>
      <c r="C17" s="8">
        <v>84.505499999999998</v>
      </c>
      <c r="D17" s="3" t="s">
        <v>7</v>
      </c>
      <c r="E17" s="19" t="s">
        <v>93</v>
      </c>
      <c r="F17" s="3">
        <v>3999.759</v>
      </c>
      <c r="G17" s="11">
        <f>$F17*Daspalla_22!H17</f>
        <v>13523.185179</v>
      </c>
      <c r="H17" s="11">
        <f>$F17*Daspalla_22!I17</f>
        <v>12841.626245399999</v>
      </c>
      <c r="I17" s="11">
        <f>$F17*Daspalla_22!J17</f>
        <v>12049.673963400001</v>
      </c>
      <c r="J17" s="11">
        <f>$F17*Daspalla_22!K17</f>
        <v>11230.1233443</v>
      </c>
      <c r="K17" s="11">
        <f>$F17*Daspalla_22!L17</f>
        <v>10272.5810397</v>
      </c>
      <c r="L17" s="11">
        <f>$F17*Daspalla_22!M17</f>
        <v>14999.096250000001</v>
      </c>
      <c r="M17" s="11">
        <f>$F17*Daspalla_22!N17</f>
        <v>14999.096250000001</v>
      </c>
      <c r="N17" s="11">
        <f>$F17*Daspalla_22!O17</f>
        <v>14999.096250000001</v>
      </c>
      <c r="O17" s="11">
        <f>$F17*Daspalla_22!P17</f>
        <v>14999.096250000001</v>
      </c>
      <c r="P17" s="11">
        <f>$F17*Daspalla_22!Q17</f>
        <v>14999.096250000001</v>
      </c>
      <c r="Q17" s="11">
        <f>$F17*Daspalla_22!R17</f>
        <v>14486.727122100001</v>
      </c>
      <c r="R17" s="11">
        <f>$F17*Daspalla_22!S17</f>
        <v>14031.954523799999</v>
      </c>
      <c r="S17" s="8" t="s">
        <v>78</v>
      </c>
      <c r="T17" s="21">
        <v>407010304070203</v>
      </c>
    </row>
    <row r="18" spans="1:20" x14ac:dyDescent="0.25">
      <c r="A18" s="8">
        <v>15</v>
      </c>
      <c r="B18" s="8">
        <v>20.3354</v>
      </c>
      <c r="C18" s="8">
        <v>84.507300000000001</v>
      </c>
      <c r="D18" s="3" t="s">
        <v>7</v>
      </c>
      <c r="E18" s="19" t="s">
        <v>93</v>
      </c>
      <c r="F18" s="3">
        <v>612.67499999999995</v>
      </c>
      <c r="G18" s="11">
        <f>$F18*Daspalla_22!H18</f>
        <v>1458.7791749999997</v>
      </c>
      <c r="H18" s="11">
        <f>$F18*Daspalla_22!I18</f>
        <v>1354.3793549999998</v>
      </c>
      <c r="I18" s="11">
        <f>$F18*Daspalla_22!J18</f>
        <v>1233.0697049999999</v>
      </c>
      <c r="J18" s="11">
        <f>$F18*Daspalla_22!K18</f>
        <v>1107.5325974999998</v>
      </c>
      <c r="K18" s="11">
        <f>$F18*Daspalla_22!L18</f>
        <v>960.85820249999983</v>
      </c>
      <c r="L18" s="11">
        <f>$F18*Daspalla_22!M18</f>
        <v>1684.8562499999998</v>
      </c>
      <c r="M18" s="11">
        <f>$F18*Daspalla_22!N18</f>
        <v>1684.8562499999998</v>
      </c>
      <c r="N18" s="11">
        <f>$F18*Daspalla_22!O18</f>
        <v>1684.8562499999998</v>
      </c>
      <c r="O18" s="11">
        <f>$F18*Daspalla_22!P18</f>
        <v>1684.8562499999998</v>
      </c>
      <c r="P18" s="11">
        <f>$F18*Daspalla_22!Q18</f>
        <v>1684.8562499999998</v>
      </c>
      <c r="Q18" s="11">
        <f>$F18*Daspalla_22!R18</f>
        <v>1606.3725824999999</v>
      </c>
      <c r="R18" s="11">
        <f>$F18*Daspalla_22!S18</f>
        <v>1536.7114349999999</v>
      </c>
      <c r="S18" s="8" t="s">
        <v>78</v>
      </c>
      <c r="T18" s="21">
        <v>407010304070203</v>
      </c>
    </row>
    <row r="19" spans="1:20" x14ac:dyDescent="0.25">
      <c r="A19" s="8">
        <v>16</v>
      </c>
      <c r="B19" s="8">
        <v>20.335699999999999</v>
      </c>
      <c r="C19" s="8">
        <v>84.507499999999993</v>
      </c>
      <c r="D19" s="3" t="s">
        <v>7</v>
      </c>
      <c r="E19" s="19" t="s">
        <v>93</v>
      </c>
      <c r="F19" s="3">
        <v>256.80099999999999</v>
      </c>
      <c r="G19" s="11">
        <f>$F19*Daspalla_22!H19</f>
        <v>354.64218100000005</v>
      </c>
      <c r="H19" s="11">
        <f>$F19*Daspalla_22!I19</f>
        <v>310.88329060000007</v>
      </c>
      <c r="I19" s="11">
        <f>$F19*Daspalla_22!J19</f>
        <v>260.03669260000009</v>
      </c>
      <c r="J19" s="11">
        <f>$F19*Daspalla_22!K19</f>
        <v>207.41816770000008</v>
      </c>
      <c r="K19" s="11">
        <f>$F19*Daspalla_22!L19</f>
        <v>145.9400083000001</v>
      </c>
      <c r="L19" s="11">
        <f>$F19*Daspalla_22!M19</f>
        <v>449.40174999999999</v>
      </c>
      <c r="M19" s="11">
        <f>$F19*Daspalla_22!N19</f>
        <v>449.40174999999999</v>
      </c>
      <c r="N19" s="11">
        <f>$F19*Daspalla_22!O19</f>
        <v>449.40174999999999</v>
      </c>
      <c r="O19" s="11">
        <f>$F19*Daspalla_22!P19</f>
        <v>449.40174999999999</v>
      </c>
      <c r="P19" s="11">
        <f>$F19*Daspalla_22!Q19</f>
        <v>449.40174999999999</v>
      </c>
      <c r="Q19" s="11">
        <f>$F19*Daspalla_22!R19</f>
        <v>416.50554190000003</v>
      </c>
      <c r="R19" s="11">
        <f>$F19*Daspalla_22!S19</f>
        <v>387.30726820000001</v>
      </c>
      <c r="S19" s="8" t="s">
        <v>78</v>
      </c>
      <c r="T19" s="21">
        <v>407010304070203</v>
      </c>
    </row>
    <row r="20" spans="1:20" x14ac:dyDescent="0.25">
      <c r="A20" s="8">
        <v>17</v>
      </c>
      <c r="B20" s="8">
        <v>20.334099999999999</v>
      </c>
      <c r="C20" s="8">
        <v>84.500699999999995</v>
      </c>
      <c r="D20" s="3" t="s">
        <v>7</v>
      </c>
      <c r="E20" s="19" t="s">
        <v>93</v>
      </c>
      <c r="F20" s="3">
        <v>837.40800000000002</v>
      </c>
      <c r="G20" s="11">
        <f>$F20*Daspalla_22!H20</f>
        <v>1993.8684479999999</v>
      </c>
      <c r="H20" s="11">
        <f>$F20*Daspalla_22!I20</f>
        <v>1851.1741247999998</v>
      </c>
      <c r="I20" s="11">
        <f>$F20*Daspalla_22!J20</f>
        <v>1685.3673408</v>
      </c>
      <c r="J20" s="11">
        <f>$F20*Daspalla_22!K20</f>
        <v>1513.7824415999999</v>
      </c>
      <c r="K20" s="11">
        <f>$F20*Daspalla_22!L20</f>
        <v>1313.3069664</v>
      </c>
      <c r="L20" s="11">
        <f>$F20*Daspalla_22!M20</f>
        <v>2302.8719999999998</v>
      </c>
      <c r="M20" s="11">
        <f>$F20*Daspalla_22!N20</f>
        <v>2302.8719999999998</v>
      </c>
      <c r="N20" s="11">
        <f>$F20*Daspalla_22!O20</f>
        <v>2302.8719999999998</v>
      </c>
      <c r="O20" s="11">
        <f>$F20*Daspalla_22!P20</f>
        <v>2302.8719999999998</v>
      </c>
      <c r="P20" s="11">
        <f>$F20*Daspalla_22!Q20</f>
        <v>2302.8719999999998</v>
      </c>
      <c r="Q20" s="11">
        <f>$F20*Daspalla_22!R20</f>
        <v>2195.6000352000001</v>
      </c>
      <c r="R20" s="11">
        <f>$F20*Daspalla_22!S20</f>
        <v>2100.3867455999998</v>
      </c>
      <c r="S20" s="8" t="s">
        <v>78</v>
      </c>
      <c r="T20" s="21">
        <v>407010304070203</v>
      </c>
    </row>
    <row r="21" spans="1:20" x14ac:dyDescent="0.25">
      <c r="A21" s="8">
        <v>18</v>
      </c>
      <c r="B21" s="8">
        <v>20.3401</v>
      </c>
      <c r="C21" s="8">
        <v>84.506799999999998</v>
      </c>
      <c r="D21" s="3" t="s">
        <v>7</v>
      </c>
      <c r="E21" s="19" t="s">
        <v>93</v>
      </c>
      <c r="F21" s="3">
        <v>268.02199999999999</v>
      </c>
      <c r="G21" s="11">
        <f>$F21*Daspalla_22!H21</f>
        <v>370.13838200000004</v>
      </c>
      <c r="H21" s="11">
        <f>$F21*Daspalla_22!I21</f>
        <v>324.46743320000007</v>
      </c>
      <c r="I21" s="11">
        <f>$F21*Daspalla_22!J21</f>
        <v>271.39907720000008</v>
      </c>
      <c r="J21" s="11">
        <f>$F21*Daspalla_22!K21</f>
        <v>216.48136940000009</v>
      </c>
      <c r="K21" s="11">
        <f>$F21*Daspalla_22!L21</f>
        <v>152.31690260000013</v>
      </c>
      <c r="L21" s="11">
        <f>$F21*Daspalla_22!M21</f>
        <v>469.0385</v>
      </c>
      <c r="M21" s="11">
        <f>$F21*Daspalla_22!N21</f>
        <v>469.0385</v>
      </c>
      <c r="N21" s="11">
        <f>$F21*Daspalla_22!O21</f>
        <v>469.0385</v>
      </c>
      <c r="O21" s="11">
        <f>$F21*Daspalla_22!P21</f>
        <v>469.0385</v>
      </c>
      <c r="P21" s="11">
        <f>$F21*Daspalla_22!Q21</f>
        <v>469.0385</v>
      </c>
      <c r="Q21" s="11">
        <f>$F21*Daspalla_22!R21</f>
        <v>434.70488180000001</v>
      </c>
      <c r="R21" s="11">
        <f>$F21*Daspalla_22!S21</f>
        <v>404.23078040000001</v>
      </c>
      <c r="S21" s="8" t="s">
        <v>78</v>
      </c>
      <c r="T21" s="21">
        <v>407010304070203</v>
      </c>
    </row>
    <row r="22" spans="1:20" x14ac:dyDescent="0.25">
      <c r="A22" s="8">
        <v>19</v>
      </c>
      <c r="B22" s="8">
        <v>20.341999999999999</v>
      </c>
      <c r="C22" s="8">
        <v>84.491399999999999</v>
      </c>
      <c r="D22" s="3" t="s">
        <v>7</v>
      </c>
      <c r="E22" s="19" t="s">
        <v>93</v>
      </c>
      <c r="F22" s="3">
        <v>1475.201</v>
      </c>
      <c r="G22" s="11">
        <f>$F22*Daspalla_22!H22</f>
        <v>3512.4535809999998</v>
      </c>
      <c r="H22" s="11">
        <f>$F22*Daspalla_22!I22</f>
        <v>3261.0793306</v>
      </c>
      <c r="I22" s="11">
        <f>$F22*Daspalla_22!J22</f>
        <v>2968.9895326000001</v>
      </c>
      <c r="J22" s="11">
        <f>$F22*Daspalla_22!K22</f>
        <v>2666.7208476999999</v>
      </c>
      <c r="K22" s="11">
        <f>$F22*Daspalla_22!L22</f>
        <v>2313.5577282999998</v>
      </c>
      <c r="L22" s="11">
        <f>$F22*Daspalla_22!M22</f>
        <v>4056.8027499999998</v>
      </c>
      <c r="M22" s="11">
        <f>$F22*Daspalla_22!N22</f>
        <v>4056.8027499999998</v>
      </c>
      <c r="N22" s="11">
        <f>$F22*Daspalla_22!O22</f>
        <v>4056.8027499999998</v>
      </c>
      <c r="O22" s="11">
        <f>$F22*Daspalla_22!P22</f>
        <v>4056.8027499999998</v>
      </c>
      <c r="P22" s="11">
        <f>$F22*Daspalla_22!Q22</f>
        <v>4056.8027499999998</v>
      </c>
      <c r="Q22" s="11">
        <f>$F22*Daspalla_22!R22</f>
        <v>3867.8295019000002</v>
      </c>
      <c r="R22" s="11">
        <f>$F22*Daspalla_22!S22</f>
        <v>3700.0991481999999</v>
      </c>
      <c r="S22" s="8" t="s">
        <v>78</v>
      </c>
      <c r="T22" s="21">
        <v>407010304070203</v>
      </c>
    </row>
    <row r="23" spans="1:20" x14ac:dyDescent="0.25">
      <c r="A23" s="8">
        <v>20</v>
      </c>
      <c r="B23" s="8">
        <v>20.3443</v>
      </c>
      <c r="C23" s="8">
        <v>84.494600000000005</v>
      </c>
      <c r="D23" s="3" t="s">
        <v>7</v>
      </c>
      <c r="E23" s="19" t="s">
        <v>93</v>
      </c>
      <c r="F23" s="3">
        <v>547.79499999999996</v>
      </c>
      <c r="G23" s="11">
        <f>$F23*Daspalla_22!H23</f>
        <v>756.50489500000003</v>
      </c>
      <c r="H23" s="11">
        <f>$F23*Daspalla_22!I23</f>
        <v>663.16062700000009</v>
      </c>
      <c r="I23" s="11">
        <f>$F23*Daspalla_22!J23</f>
        <v>554.69721700000014</v>
      </c>
      <c r="J23" s="11">
        <f>$F23*Daspalla_22!K23</f>
        <v>442.45402150000018</v>
      </c>
      <c r="K23" s="11">
        <f>$F23*Daspalla_22!L23</f>
        <v>311.31189850000021</v>
      </c>
      <c r="L23" s="11">
        <f>$F23*Daspalla_22!M23</f>
        <v>958.6412499999999</v>
      </c>
      <c r="M23" s="11">
        <f>$F23*Daspalla_22!N23</f>
        <v>958.6412499999999</v>
      </c>
      <c r="N23" s="11">
        <f>$F23*Daspalla_22!O23</f>
        <v>958.6412499999999</v>
      </c>
      <c r="O23" s="11">
        <f>$F23*Daspalla_22!P23</f>
        <v>958.6412499999999</v>
      </c>
      <c r="P23" s="11">
        <f>$F23*Daspalla_22!Q23</f>
        <v>958.6412499999999</v>
      </c>
      <c r="Q23" s="11">
        <f>$F23*Daspalla_22!R23</f>
        <v>888.46871050000004</v>
      </c>
      <c r="R23" s="11">
        <f>$F23*Daspalla_22!S23</f>
        <v>826.18441900000005</v>
      </c>
      <c r="S23" s="8" t="s">
        <v>78</v>
      </c>
      <c r="T23" s="21">
        <v>407010304070203</v>
      </c>
    </row>
    <row r="24" spans="1:20" x14ac:dyDescent="0.25">
      <c r="A24" s="8">
        <v>21</v>
      </c>
      <c r="B24" s="8">
        <v>20.343699999999998</v>
      </c>
      <c r="C24" s="8">
        <v>84.495699999999999</v>
      </c>
      <c r="D24" s="3" t="s">
        <v>7</v>
      </c>
      <c r="E24" s="19" t="s">
        <v>93</v>
      </c>
      <c r="F24" s="3">
        <v>961.07899999999995</v>
      </c>
      <c r="G24" s="11">
        <f>$F24*Daspalla_22!H24</f>
        <v>1327.2500990000001</v>
      </c>
      <c r="H24" s="11">
        <f>$F24*Daspalla_22!I24</f>
        <v>1163.4822374000003</v>
      </c>
      <c r="I24" s="11">
        <f>$F24*Daspalla_22!J24</f>
        <v>973.18859540000028</v>
      </c>
      <c r="J24" s="11">
        <f>$F24*Daspalla_22!K24</f>
        <v>776.26350830000035</v>
      </c>
      <c r="K24" s="11">
        <f>$F24*Daspalla_22!L24</f>
        <v>546.18119570000044</v>
      </c>
      <c r="L24" s="11">
        <f>$F24*Daspalla_22!M24</f>
        <v>1681.88825</v>
      </c>
      <c r="M24" s="11">
        <f>$F24*Daspalla_22!N24</f>
        <v>1681.88825</v>
      </c>
      <c r="N24" s="11">
        <f>$F24*Daspalla_22!O24</f>
        <v>1681.88825</v>
      </c>
      <c r="O24" s="11">
        <f>$F24*Daspalla_22!P24</f>
        <v>1681.88825</v>
      </c>
      <c r="P24" s="11">
        <f>$F24*Daspalla_22!Q24</f>
        <v>1681.88825</v>
      </c>
      <c r="Q24" s="11">
        <f>$F24*Daspalla_22!R24</f>
        <v>1558.7740301000001</v>
      </c>
      <c r="R24" s="11">
        <f>$F24*Daspalla_22!S24</f>
        <v>1449.4993478000001</v>
      </c>
      <c r="S24" s="8" t="s">
        <v>78</v>
      </c>
      <c r="T24" s="21">
        <v>407010304070203</v>
      </c>
    </row>
    <row r="25" spans="1:20" x14ac:dyDescent="0.25">
      <c r="A25" s="8">
        <v>22</v>
      </c>
      <c r="B25" s="8">
        <v>20.350000000000001</v>
      </c>
      <c r="C25" s="8">
        <v>84.504199999999997</v>
      </c>
      <c r="D25" s="3" t="s">
        <v>7</v>
      </c>
      <c r="E25" s="19" t="s">
        <v>93</v>
      </c>
      <c r="F25" s="3">
        <v>1278.8209999999999</v>
      </c>
      <c r="G25" s="11">
        <f>$F25*Daspalla_22!H25</f>
        <v>1766.0518010000001</v>
      </c>
      <c r="H25" s="11">
        <f>$F25*Daspalla_22!I25</f>
        <v>1548.1407026000004</v>
      </c>
      <c r="I25" s="11">
        <f>$F25*Daspalla_22!J25</f>
        <v>1294.9341446000003</v>
      </c>
      <c r="J25" s="11">
        <f>$F25*Daspalla_22!K25</f>
        <v>1032.9037217000005</v>
      </c>
      <c r="K25" s="11">
        <f>$F25*Daspalla_22!L25</f>
        <v>726.75397430000055</v>
      </c>
      <c r="L25" s="11">
        <f>$F25*Daspalla_22!M25</f>
        <v>2237.9367499999998</v>
      </c>
      <c r="M25" s="11">
        <f>$F25*Daspalla_22!N25</f>
        <v>2237.9367499999998</v>
      </c>
      <c r="N25" s="11">
        <f>$F25*Daspalla_22!O25</f>
        <v>2237.9367499999998</v>
      </c>
      <c r="O25" s="11">
        <f>$F25*Daspalla_22!P25</f>
        <v>2237.9367499999998</v>
      </c>
      <c r="P25" s="11">
        <f>$F25*Daspalla_22!Q25</f>
        <v>2237.9367499999998</v>
      </c>
      <c r="Q25" s="11">
        <f>$F25*Daspalla_22!R25</f>
        <v>2074.1197799000001</v>
      </c>
      <c r="R25" s="11">
        <f>$F25*Daspalla_22!S25</f>
        <v>1928.7178322000002</v>
      </c>
      <c r="S25" s="8" t="s">
        <v>77</v>
      </c>
      <c r="T25" s="21">
        <v>407010304080204</v>
      </c>
    </row>
    <row r="26" spans="1:20" x14ac:dyDescent="0.25">
      <c r="A26" s="8">
        <v>23</v>
      </c>
      <c r="B26" s="8">
        <v>20.349900000000002</v>
      </c>
      <c r="C26" s="8">
        <v>84.508799999999994</v>
      </c>
      <c r="D26" s="3" t="s">
        <v>7</v>
      </c>
      <c r="E26" s="19" t="s">
        <v>93</v>
      </c>
      <c r="F26" s="3">
        <v>4606.277</v>
      </c>
      <c r="G26" s="11">
        <f>$F26*Daspalla_22!H26</f>
        <v>6361.2685370000008</v>
      </c>
      <c r="H26" s="11">
        <f>$F26*Daspalla_22!I26</f>
        <v>5576.3589362000021</v>
      </c>
      <c r="I26" s="11">
        <f>$F26*Daspalla_22!J26</f>
        <v>4664.3160902000018</v>
      </c>
      <c r="J26" s="11">
        <f>$F26*Daspalla_22!K26</f>
        <v>3720.4899329000018</v>
      </c>
      <c r="K26" s="11">
        <f>$F26*Daspalla_22!L26</f>
        <v>2617.747219100002</v>
      </c>
      <c r="L26" s="11">
        <f>$F26*Daspalla_22!M26</f>
        <v>8060.9847499999996</v>
      </c>
      <c r="M26" s="11">
        <f>$F26*Daspalla_22!N26</f>
        <v>8060.9847499999996</v>
      </c>
      <c r="N26" s="11">
        <f>$F26*Daspalla_22!O26</f>
        <v>8060.9847499999996</v>
      </c>
      <c r="O26" s="11">
        <f>$F26*Daspalla_22!P26</f>
        <v>8060.9847499999996</v>
      </c>
      <c r="P26" s="11">
        <f>$F26*Daspalla_22!Q26</f>
        <v>8060.9847499999996</v>
      </c>
      <c r="Q26" s="11">
        <f>$F26*Daspalla_22!R26</f>
        <v>7470.9206663000004</v>
      </c>
      <c r="R26" s="11">
        <f>$F26*Daspalla_22!S26</f>
        <v>6947.1869714000013</v>
      </c>
      <c r="S26" s="8" t="s">
        <v>77</v>
      </c>
      <c r="T26" s="21">
        <v>407010304080204</v>
      </c>
    </row>
    <row r="27" spans="1:20" x14ac:dyDescent="0.25">
      <c r="A27" s="8">
        <v>24</v>
      </c>
      <c r="B27" s="8">
        <v>20.3583</v>
      </c>
      <c r="C27" s="8">
        <v>84.5274</v>
      </c>
      <c r="D27" s="3" t="s">
        <v>7</v>
      </c>
      <c r="E27" s="19" t="s">
        <v>93</v>
      </c>
      <c r="F27" s="3">
        <v>2942.5219999999999</v>
      </c>
      <c r="G27" s="11">
        <f>$F27*Daspalla_22!H27</f>
        <v>7006.1448819999996</v>
      </c>
      <c r="H27" s="11">
        <f>$F27*Daspalla_22!I27</f>
        <v>6504.7391331999997</v>
      </c>
      <c r="I27" s="11">
        <f>$F27*Daspalla_22!J27</f>
        <v>5922.1197771999996</v>
      </c>
      <c r="J27" s="11">
        <f>$F27*Daspalla_22!K27</f>
        <v>5319.1970193999996</v>
      </c>
      <c r="K27" s="11">
        <f>$F27*Daspalla_22!L27</f>
        <v>4614.7572525999994</v>
      </c>
      <c r="L27" s="11">
        <f>$F27*Daspalla_22!M27</f>
        <v>8091.9354999999996</v>
      </c>
      <c r="M27" s="11">
        <f>$F27*Daspalla_22!N27</f>
        <v>8091.9354999999996</v>
      </c>
      <c r="N27" s="11">
        <f>$F27*Daspalla_22!O27</f>
        <v>8091.9354999999996</v>
      </c>
      <c r="O27" s="11">
        <f>$F27*Daspalla_22!P27</f>
        <v>8091.9354999999996</v>
      </c>
      <c r="P27" s="11">
        <f>$F27*Daspalla_22!Q27</f>
        <v>8091.9354999999996</v>
      </c>
      <c r="Q27" s="11">
        <f>$F27*Daspalla_22!R27</f>
        <v>7714.9984318000006</v>
      </c>
      <c r="R27" s="11">
        <f>$F27*Daspalla_22!S27</f>
        <v>7380.4336803999995</v>
      </c>
      <c r="S27" s="8" t="s">
        <v>77</v>
      </c>
      <c r="T27" s="21">
        <v>407010304080204</v>
      </c>
    </row>
    <row r="28" spans="1:20" x14ac:dyDescent="0.25">
      <c r="A28" s="8">
        <v>25</v>
      </c>
      <c r="B28" s="8">
        <v>20.358599999999999</v>
      </c>
      <c r="C28" s="8">
        <v>84.526300000000006</v>
      </c>
      <c r="D28" s="3" t="s">
        <v>7</v>
      </c>
      <c r="E28" s="19" t="s">
        <v>93</v>
      </c>
      <c r="F28" s="3">
        <v>3953.2750000000001</v>
      </c>
      <c r="G28" s="11">
        <f>$F28*Daspalla_22!H28</f>
        <v>9412.7477749999998</v>
      </c>
      <c r="H28" s="11">
        <f>$F28*Daspalla_22!I28</f>
        <v>8739.1097150000005</v>
      </c>
      <c r="I28" s="11">
        <f>$F28*Daspalla_22!J28</f>
        <v>7956.3612649999995</v>
      </c>
      <c r="J28" s="11">
        <f>$F28*Daspalla_22!K28</f>
        <v>7146.3352175</v>
      </c>
      <c r="K28" s="11">
        <f>$F28*Daspalla_22!L28</f>
        <v>6199.9211824999993</v>
      </c>
      <c r="L28" s="11">
        <f>$F28*Daspalla_22!M28</f>
        <v>10871.50625</v>
      </c>
      <c r="M28" s="11">
        <f>$F28*Daspalla_22!N28</f>
        <v>10871.50625</v>
      </c>
      <c r="N28" s="11">
        <f>$F28*Daspalla_22!O28</f>
        <v>10871.50625</v>
      </c>
      <c r="O28" s="11">
        <f>$F28*Daspalla_22!P28</f>
        <v>10871.50625</v>
      </c>
      <c r="P28" s="11">
        <f>$F28*Daspalla_22!Q28</f>
        <v>10871.50625</v>
      </c>
      <c r="Q28" s="11">
        <f>$F28*Daspalla_22!R28</f>
        <v>10365.091722500001</v>
      </c>
      <c r="R28" s="11">
        <f>$F28*Daspalla_22!S28</f>
        <v>9915.6043549999995</v>
      </c>
      <c r="S28" s="8" t="s">
        <v>77</v>
      </c>
      <c r="T28" s="21">
        <v>407010304080204</v>
      </c>
    </row>
    <row r="29" spans="1:20" x14ac:dyDescent="0.25">
      <c r="A29" s="8">
        <v>26</v>
      </c>
      <c r="B29" s="8">
        <v>20.363900000000001</v>
      </c>
      <c r="C29" s="8">
        <v>84.52</v>
      </c>
      <c r="D29" s="3" t="s">
        <v>7</v>
      </c>
      <c r="E29" s="19" t="s">
        <v>93</v>
      </c>
      <c r="F29" s="3">
        <v>471.59100000000001</v>
      </c>
      <c r="G29" s="11">
        <f>$F29*Daspalla_22!H29</f>
        <v>651.26717100000008</v>
      </c>
      <c r="H29" s="11">
        <f>$F29*Daspalla_22!I29</f>
        <v>570.90806460000022</v>
      </c>
      <c r="I29" s="11">
        <f>$F29*Daspalla_22!J29</f>
        <v>477.5330466000002</v>
      </c>
      <c r="J29" s="11">
        <f>$F29*Daspalla_22!K29</f>
        <v>380.9040507000002</v>
      </c>
      <c r="K29" s="11">
        <f>$F29*Daspalla_22!L29</f>
        <v>268.00516530000021</v>
      </c>
      <c r="L29" s="11">
        <f>$F29*Daspalla_22!M29</f>
        <v>825.28425000000004</v>
      </c>
      <c r="M29" s="11">
        <f>$F29*Daspalla_22!N29</f>
        <v>825.28425000000004</v>
      </c>
      <c r="N29" s="11">
        <f>$F29*Daspalla_22!O29</f>
        <v>825.28425000000004</v>
      </c>
      <c r="O29" s="11">
        <f>$F29*Daspalla_22!P29</f>
        <v>825.28425000000004</v>
      </c>
      <c r="P29" s="11">
        <f>$F29*Daspalla_22!Q29</f>
        <v>825.28425000000004</v>
      </c>
      <c r="Q29" s="11">
        <f>$F29*Daspalla_22!R29</f>
        <v>764.8734429000001</v>
      </c>
      <c r="R29" s="11">
        <f>$F29*Daspalla_22!S29</f>
        <v>711.25354620000007</v>
      </c>
      <c r="S29" s="8" t="s">
        <v>77</v>
      </c>
      <c r="T29" s="21">
        <v>407010304080204</v>
      </c>
    </row>
    <row r="30" spans="1:20" x14ac:dyDescent="0.25">
      <c r="A30" s="8">
        <v>27</v>
      </c>
      <c r="B30" s="8">
        <v>20.3749</v>
      </c>
      <c r="C30" s="8">
        <v>84.529799999999994</v>
      </c>
      <c r="D30" s="3" t="s">
        <v>7</v>
      </c>
      <c r="E30" s="19" t="s">
        <v>93</v>
      </c>
      <c r="F30" s="3">
        <v>4213.7640000000001</v>
      </c>
      <c r="G30" s="11">
        <f>$F30*Daspalla_22!H30</f>
        <v>14246.736084</v>
      </c>
      <c r="H30" s="11">
        <f>$F30*Daspalla_22!I30</f>
        <v>13528.7106984</v>
      </c>
      <c r="I30" s="11">
        <f>$F30*Daspalla_22!J30</f>
        <v>12694.3854264</v>
      </c>
      <c r="J30" s="11">
        <f>$F30*Daspalla_22!K30</f>
        <v>11830.985182800001</v>
      </c>
      <c r="K30" s="11">
        <f>$F30*Daspalla_22!L30</f>
        <v>10822.210081200001</v>
      </c>
      <c r="L30" s="11">
        <f>$F30*Daspalla_22!M30</f>
        <v>15801.615</v>
      </c>
      <c r="M30" s="11">
        <f>$F30*Daspalla_22!N30</f>
        <v>15801.615</v>
      </c>
      <c r="N30" s="11">
        <f>$F30*Daspalla_22!O30</f>
        <v>15801.615</v>
      </c>
      <c r="O30" s="11">
        <f>$F30*Daspalla_22!P30</f>
        <v>15801.615</v>
      </c>
      <c r="P30" s="11">
        <f>$F30*Daspalla_22!Q30</f>
        <v>15801.615</v>
      </c>
      <c r="Q30" s="11">
        <f>$F30*Daspalla_22!R30</f>
        <v>15261.8318316</v>
      </c>
      <c r="R30" s="11">
        <f>$F30*Daspalla_22!S30</f>
        <v>14782.726864800001</v>
      </c>
      <c r="S30" s="8" t="s">
        <v>77</v>
      </c>
      <c r="T30" s="21">
        <v>407010304080204</v>
      </c>
    </row>
    <row r="31" spans="1:20" x14ac:dyDescent="0.25">
      <c r="A31" s="8">
        <v>28</v>
      </c>
      <c r="B31" s="8">
        <v>20.372399999999999</v>
      </c>
      <c r="C31" s="8">
        <v>84.534599999999998</v>
      </c>
      <c r="D31" s="3" t="s">
        <v>7</v>
      </c>
      <c r="E31" s="19" t="s">
        <v>93</v>
      </c>
      <c r="F31" s="3">
        <v>986.46699999999998</v>
      </c>
      <c r="G31" s="11">
        <f>$F31*Daspalla_22!H31</f>
        <v>1362.3109270000002</v>
      </c>
      <c r="H31" s="11">
        <f>$F31*Daspalla_22!I31</f>
        <v>1194.2169502000004</v>
      </c>
      <c r="I31" s="11">
        <f>$F31*Daspalla_22!J31</f>
        <v>998.89648420000037</v>
      </c>
      <c r="J31" s="11">
        <f>$F31*Daspalla_22!K31</f>
        <v>796.7693959000004</v>
      </c>
      <c r="K31" s="11">
        <f>$F31*Daspalla_22!L31</f>
        <v>560.60919610000042</v>
      </c>
      <c r="L31" s="11">
        <f>$F31*Daspalla_22!M31</f>
        <v>1726.3172500000001</v>
      </c>
      <c r="M31" s="11">
        <f>$F31*Daspalla_22!N31</f>
        <v>1726.3172500000001</v>
      </c>
      <c r="N31" s="11">
        <f>$F31*Daspalla_22!O31</f>
        <v>1726.3172500000001</v>
      </c>
      <c r="O31" s="11">
        <f>$F31*Daspalla_22!P31</f>
        <v>1726.3172500000001</v>
      </c>
      <c r="P31" s="11">
        <f>$F31*Daspalla_22!Q31</f>
        <v>1726.3172500000001</v>
      </c>
      <c r="Q31" s="11">
        <f>$F31*Daspalla_22!R31</f>
        <v>1599.9508273000001</v>
      </c>
      <c r="R31" s="11">
        <f>$F31*Daspalla_22!S31</f>
        <v>1487.7895294000002</v>
      </c>
      <c r="S31" s="8" t="s">
        <v>77</v>
      </c>
      <c r="T31" s="21">
        <v>407010304080204</v>
      </c>
    </row>
    <row r="32" spans="1:20" x14ac:dyDescent="0.25">
      <c r="A32" s="8">
        <v>29</v>
      </c>
      <c r="B32" s="8">
        <v>20.358499999999999</v>
      </c>
      <c r="C32" s="8">
        <v>84.548599999999993</v>
      </c>
      <c r="D32" s="3" t="s">
        <v>7</v>
      </c>
      <c r="E32" s="19" t="s">
        <v>93</v>
      </c>
      <c r="F32" s="3">
        <v>40274.544999999998</v>
      </c>
      <c r="G32" s="11">
        <f>$F32*Daspalla_22!H32</f>
        <v>55619.146645000008</v>
      </c>
      <c r="H32" s="11">
        <f>$F32*Daspalla_22!I32</f>
        <v>48756.36417700001</v>
      </c>
      <c r="I32" s="11">
        <f>$F32*Daspalla_22!J32</f>
        <v>40782.004267000011</v>
      </c>
      <c r="J32" s="11">
        <f>$F32*Daspalla_22!K32</f>
        <v>32529.749996500017</v>
      </c>
      <c r="K32" s="11">
        <f>$F32*Daspalla_22!L32</f>
        <v>22888.023923500019</v>
      </c>
      <c r="L32" s="11">
        <f>$F32*Daspalla_22!M32</f>
        <v>70480.453750000001</v>
      </c>
      <c r="M32" s="11">
        <f>$F32*Daspalla_22!N32</f>
        <v>70480.453750000001</v>
      </c>
      <c r="N32" s="11">
        <f>$F32*Daspalla_22!O32</f>
        <v>70480.453750000001</v>
      </c>
      <c r="O32" s="11">
        <f>$F32*Daspalla_22!P32</f>
        <v>70480.453750000001</v>
      </c>
      <c r="P32" s="11">
        <f>$F32*Daspalla_22!Q32</f>
        <v>70480.453750000001</v>
      </c>
      <c r="Q32" s="11">
        <f>$F32*Daspalla_22!R32</f>
        <v>65321.284535500003</v>
      </c>
      <c r="R32" s="11">
        <f>$F32*Daspalla_22!S32</f>
        <v>60742.068769000005</v>
      </c>
      <c r="S32" s="8" t="s">
        <v>85</v>
      </c>
      <c r="T32" s="21">
        <v>407010304140202</v>
      </c>
    </row>
    <row r="33" spans="1:20" x14ac:dyDescent="0.25">
      <c r="A33" s="8">
        <v>30</v>
      </c>
      <c r="B33" s="8">
        <v>20.366599999999998</v>
      </c>
      <c r="C33" s="8">
        <v>84.552000000000007</v>
      </c>
      <c r="D33" s="3" t="s">
        <v>7</v>
      </c>
      <c r="E33" s="19" t="s">
        <v>93</v>
      </c>
      <c r="F33" s="3">
        <v>1801.3510000000001</v>
      </c>
      <c r="G33" s="11">
        <f>$F33*Daspalla_22!H33</f>
        <v>4289.0167309999997</v>
      </c>
      <c r="H33" s="11">
        <f>$F33*Daspalla_22!I33</f>
        <v>3982.0665205999999</v>
      </c>
      <c r="I33" s="11">
        <f>$F33*Daspalla_22!J33</f>
        <v>3625.3990226000001</v>
      </c>
      <c r="J33" s="11">
        <f>$F33*Daspalla_22!K33</f>
        <v>3256.3022027000002</v>
      </c>
      <c r="K33" s="11">
        <f>$F33*Daspalla_22!L33</f>
        <v>2825.0587732999998</v>
      </c>
      <c r="L33" s="11">
        <f>$F33*Daspalla_22!M33</f>
        <v>4953.7152500000002</v>
      </c>
      <c r="M33" s="11">
        <f>$F33*Daspalla_22!N33</f>
        <v>4953.7152500000002</v>
      </c>
      <c r="N33" s="11">
        <f>$F33*Daspalla_22!O33</f>
        <v>4953.7152500000002</v>
      </c>
      <c r="O33" s="11">
        <f>$F33*Daspalla_22!P33</f>
        <v>4953.7152500000002</v>
      </c>
      <c r="P33" s="11">
        <f>$F33*Daspalla_22!Q33</f>
        <v>4953.7152500000002</v>
      </c>
      <c r="Q33" s="11">
        <f>$F33*Daspalla_22!R33</f>
        <v>4722.9621869000002</v>
      </c>
      <c r="R33" s="11">
        <f>$F33*Daspalla_22!S33</f>
        <v>4518.1485782</v>
      </c>
      <c r="S33" s="8" t="s">
        <v>85</v>
      </c>
      <c r="T33" s="21">
        <v>407010304140202</v>
      </c>
    </row>
    <row r="34" spans="1:20" x14ac:dyDescent="0.25">
      <c r="A34" s="8">
        <v>31</v>
      </c>
      <c r="B34" s="8">
        <v>20.368300000000001</v>
      </c>
      <c r="C34" s="8">
        <v>84.557900000000004</v>
      </c>
      <c r="D34" s="3" t="s">
        <v>7</v>
      </c>
      <c r="E34" s="19" t="s">
        <v>93</v>
      </c>
      <c r="F34" s="3">
        <v>1233.8979999999999</v>
      </c>
      <c r="G34" s="11">
        <f>$F34*Daspalla_22!H34</f>
        <v>2937.9111379999995</v>
      </c>
      <c r="H34" s="11">
        <f>$F34*Daspalla_22!I34</f>
        <v>2727.6549187999999</v>
      </c>
      <c r="I34" s="11">
        <f>$F34*Daspalla_22!J34</f>
        <v>2483.3431148</v>
      </c>
      <c r="J34" s="11">
        <f>$F34*Daspalla_22!K34</f>
        <v>2230.5174145999995</v>
      </c>
      <c r="K34" s="11">
        <f>$F34*Daspalla_22!L34</f>
        <v>1935.1222333999997</v>
      </c>
      <c r="L34" s="11">
        <f>$F34*Daspalla_22!M34</f>
        <v>3393.2194999999997</v>
      </c>
      <c r="M34" s="11">
        <f>$F34*Daspalla_22!N34</f>
        <v>3393.2194999999997</v>
      </c>
      <c r="N34" s="11">
        <f>$F34*Daspalla_22!O34</f>
        <v>3393.2194999999997</v>
      </c>
      <c r="O34" s="11">
        <f>$F34*Daspalla_22!P34</f>
        <v>3393.2194999999997</v>
      </c>
      <c r="P34" s="11">
        <f>$F34*Daspalla_22!Q34</f>
        <v>3393.2194999999997</v>
      </c>
      <c r="Q34" s="11">
        <f>$F34*Daspalla_22!R34</f>
        <v>3235.1571662000001</v>
      </c>
      <c r="R34" s="11">
        <f>$F34*Daspalla_22!S34</f>
        <v>3094.8629635999996</v>
      </c>
      <c r="S34" s="8" t="s">
        <v>85</v>
      </c>
      <c r="T34" s="21">
        <v>407010304140202</v>
      </c>
    </row>
    <row r="35" spans="1:20" x14ac:dyDescent="0.25">
      <c r="A35" s="8">
        <v>32</v>
      </c>
      <c r="B35" s="8">
        <v>20.348500000000001</v>
      </c>
      <c r="C35" s="8">
        <v>84.538700000000006</v>
      </c>
      <c r="D35" s="3" t="s">
        <v>7</v>
      </c>
      <c r="E35" s="19" t="s">
        <v>93</v>
      </c>
      <c r="F35" s="3">
        <v>29618.616000000002</v>
      </c>
      <c r="G35" s="11">
        <f>$F35*Daspalla_22!H35</f>
        <v>129759.15669600002</v>
      </c>
      <c r="H35" s="11">
        <f>$F35*Daspalla_22!I35</f>
        <v>124712.14452960002</v>
      </c>
      <c r="I35" s="11">
        <f>$F35*Daspalla_22!J35</f>
        <v>118847.65856160001</v>
      </c>
      <c r="J35" s="11">
        <f>$F35*Daspalla_22!K35</f>
        <v>112778.8041432</v>
      </c>
      <c r="K35" s="11">
        <f>$F35*Daspalla_22!L35</f>
        <v>105688.10747280001</v>
      </c>
      <c r="L35" s="11">
        <f>$F35*Daspalla_22!M35</f>
        <v>140688.42600000001</v>
      </c>
      <c r="M35" s="11">
        <f>$F35*Daspalla_22!N35</f>
        <v>140688.42600000001</v>
      </c>
      <c r="N35" s="11">
        <f>$F35*Daspalla_22!O35</f>
        <v>140688.42600000001</v>
      </c>
      <c r="O35" s="11">
        <f>$F35*Daspalla_22!P35</f>
        <v>140688.42600000001</v>
      </c>
      <c r="P35" s="11">
        <f>$F35*Daspalla_22!Q35</f>
        <v>140688.42600000001</v>
      </c>
      <c r="Q35" s="11">
        <f>$F35*Daspalla_22!R35</f>
        <v>136894.28129040002</v>
      </c>
      <c r="R35" s="11">
        <f>$F35*Daspalla_22!S35</f>
        <v>133526.64465120001</v>
      </c>
      <c r="S35" s="8" t="s">
        <v>88</v>
      </c>
      <c r="T35" s="21">
        <v>407010304140104</v>
      </c>
    </row>
    <row r="36" spans="1:20" x14ac:dyDescent="0.25">
      <c r="A36" s="8">
        <v>33</v>
      </c>
      <c r="B36" s="8">
        <v>20.331299999999999</v>
      </c>
      <c r="C36" s="8">
        <v>84.547700000000006</v>
      </c>
      <c r="D36" s="3" t="s">
        <v>7</v>
      </c>
      <c r="E36" s="19" t="s">
        <v>93</v>
      </c>
      <c r="F36" s="3">
        <v>2920.547</v>
      </c>
      <c r="G36" s="11">
        <f>$F36*Daspalla_22!H36</f>
        <v>6953.8224069999997</v>
      </c>
      <c r="H36" s="11">
        <f>$F36*Daspalla_22!I36</f>
        <v>6456.1611981999995</v>
      </c>
      <c r="I36" s="11">
        <f>$F36*Daspalla_22!J36</f>
        <v>5877.8928921999996</v>
      </c>
      <c r="J36" s="11">
        <f>$F36*Daspalla_22!K36</f>
        <v>5279.4728118999992</v>
      </c>
      <c r="K36" s="11">
        <f>$F36*Daspalla_22!L36</f>
        <v>4580.2938600999996</v>
      </c>
      <c r="L36" s="11">
        <f>$F36*Daspalla_22!M36</f>
        <v>8031.50425</v>
      </c>
      <c r="M36" s="11">
        <f>$F36*Daspalla_22!N36</f>
        <v>8031.50425</v>
      </c>
      <c r="N36" s="11">
        <f>$F36*Daspalla_22!O36</f>
        <v>8031.50425</v>
      </c>
      <c r="O36" s="11">
        <f>$F36*Daspalla_22!P36</f>
        <v>8031.50425</v>
      </c>
      <c r="P36" s="11">
        <f>$F36*Daspalla_22!Q36</f>
        <v>8031.50425</v>
      </c>
      <c r="Q36" s="11">
        <f>$F36*Daspalla_22!R36</f>
        <v>7657.3821793000006</v>
      </c>
      <c r="R36" s="11">
        <f>$F36*Daspalla_22!S36</f>
        <v>7325.3159853999996</v>
      </c>
      <c r="S36" s="8" t="s">
        <v>90</v>
      </c>
      <c r="T36" s="21">
        <v>407010304140201</v>
      </c>
    </row>
    <row r="37" spans="1:20" x14ac:dyDescent="0.25">
      <c r="A37" s="8">
        <v>34</v>
      </c>
      <c r="B37" s="8">
        <v>20.339600000000001</v>
      </c>
      <c r="C37" s="8">
        <v>84.558300000000003</v>
      </c>
      <c r="D37" s="3" t="s">
        <v>7</v>
      </c>
      <c r="E37" s="19" t="s">
        <v>93</v>
      </c>
      <c r="F37" s="3">
        <v>3061.6</v>
      </c>
      <c r="G37" s="11">
        <f>$F37*Daspalla_22!H37</f>
        <v>7289.6695999999993</v>
      </c>
      <c r="H37" s="11">
        <f>$F37*Daspalla_22!I37</f>
        <v>6767.9729599999991</v>
      </c>
      <c r="I37" s="11">
        <f>$F37*Daspalla_22!J37</f>
        <v>6161.7761599999994</v>
      </c>
      <c r="J37" s="11">
        <f>$F37*Daspalla_22!K37</f>
        <v>5534.4543199999998</v>
      </c>
      <c r="K37" s="11">
        <f>$F37*Daspalla_22!L37</f>
        <v>4801.5072799999989</v>
      </c>
      <c r="L37" s="11">
        <f>$F37*Daspalla_22!M37</f>
        <v>8419.4</v>
      </c>
      <c r="M37" s="11">
        <f>$F37*Daspalla_22!N37</f>
        <v>8419.4</v>
      </c>
      <c r="N37" s="11">
        <f>$F37*Daspalla_22!O37</f>
        <v>8419.4</v>
      </c>
      <c r="O37" s="11">
        <f>$F37*Daspalla_22!P37</f>
        <v>8419.4</v>
      </c>
      <c r="P37" s="11">
        <f>$F37*Daspalla_22!Q37</f>
        <v>8419.4</v>
      </c>
      <c r="Q37" s="11">
        <f>$F37*Daspalla_22!R37</f>
        <v>8027.2090399999997</v>
      </c>
      <c r="R37" s="11">
        <f>$F37*Daspalla_22!S37</f>
        <v>7679.1051200000002</v>
      </c>
      <c r="S37" s="8" t="s">
        <v>90</v>
      </c>
      <c r="T37" s="21">
        <v>407010304140201</v>
      </c>
    </row>
    <row r="38" spans="1:20" x14ac:dyDescent="0.25">
      <c r="A38" s="8">
        <v>35</v>
      </c>
      <c r="B38" s="8">
        <v>20.347899999999999</v>
      </c>
      <c r="C38" s="8">
        <v>84.563500000000005</v>
      </c>
      <c r="D38" s="3" t="s">
        <v>7</v>
      </c>
      <c r="E38" s="19" t="s">
        <v>93</v>
      </c>
      <c r="F38" s="3">
        <v>1085.249</v>
      </c>
      <c r="G38" s="11">
        <f>$F38*Daspalla_22!H38</f>
        <v>1498.7288690000003</v>
      </c>
      <c r="H38" s="11">
        <f>$F38*Daspalla_22!I38</f>
        <v>1313.8024394000004</v>
      </c>
      <c r="I38" s="11">
        <f>$F38*Daspalla_22!J38</f>
        <v>1098.9231374000005</v>
      </c>
      <c r="J38" s="11">
        <f>$F38*Daspalla_22!K38</f>
        <v>876.55561730000045</v>
      </c>
      <c r="K38" s="11">
        <f>$F38*Daspalla_22!L38</f>
        <v>616.7470067000005</v>
      </c>
      <c r="L38" s="11">
        <f>$F38*Daspalla_22!M38</f>
        <v>1899.1857500000001</v>
      </c>
      <c r="M38" s="11">
        <f>$F38*Daspalla_22!N38</f>
        <v>1899.1857500000001</v>
      </c>
      <c r="N38" s="11">
        <f>$F38*Daspalla_22!O38</f>
        <v>1899.1857500000001</v>
      </c>
      <c r="O38" s="11">
        <f>$F38*Daspalla_22!P38</f>
        <v>1899.1857500000001</v>
      </c>
      <c r="P38" s="11">
        <f>$F38*Daspalla_22!Q38</f>
        <v>1899.1857500000001</v>
      </c>
      <c r="Q38" s="11">
        <f>$F38*Daspalla_22!R38</f>
        <v>1760.1653531000002</v>
      </c>
      <c r="R38" s="11">
        <f>$F38*Daspalla_22!S38</f>
        <v>1636.7725418000002</v>
      </c>
      <c r="S38" s="8" t="s">
        <v>90</v>
      </c>
      <c r="T38" s="21">
        <v>407010304140201</v>
      </c>
    </row>
    <row r="39" spans="1:20" x14ac:dyDescent="0.25">
      <c r="A39" s="8">
        <v>36</v>
      </c>
      <c r="B39" s="8">
        <v>20.349499999999999</v>
      </c>
      <c r="C39" s="8">
        <v>84.566999999999993</v>
      </c>
      <c r="D39" s="3" t="s">
        <v>7</v>
      </c>
      <c r="E39" s="19" t="s">
        <v>93</v>
      </c>
      <c r="F39" s="3">
        <v>1760.3209999999999</v>
      </c>
      <c r="G39" s="11">
        <f>$F39*Daspalla_22!H39</f>
        <v>4191.3243009999997</v>
      </c>
      <c r="H39" s="11">
        <f>$F39*Daspalla_22!I39</f>
        <v>3891.3656025999994</v>
      </c>
      <c r="I39" s="11">
        <f>$F39*Daspalla_22!J39</f>
        <v>3542.8220445999996</v>
      </c>
      <c r="J39" s="11">
        <f>$F39*Daspalla_22!K39</f>
        <v>3182.1322716999998</v>
      </c>
      <c r="K39" s="11">
        <f>$F39*Daspalla_22!L39</f>
        <v>2760.7114242999996</v>
      </c>
      <c r="L39" s="11">
        <f>$F39*Daspalla_22!M39</f>
        <v>4840.8827499999998</v>
      </c>
      <c r="M39" s="11">
        <f>$F39*Daspalla_22!N39</f>
        <v>4840.8827499999998</v>
      </c>
      <c r="N39" s="11">
        <f>$F39*Daspalla_22!O39</f>
        <v>4840.8827499999998</v>
      </c>
      <c r="O39" s="11">
        <f>$F39*Daspalla_22!P39</f>
        <v>4840.8827499999998</v>
      </c>
      <c r="P39" s="11">
        <f>$F39*Daspalla_22!Q39</f>
        <v>4840.8827499999998</v>
      </c>
      <c r="Q39" s="11">
        <f>$F39*Daspalla_22!R39</f>
        <v>4615.3856298999999</v>
      </c>
      <c r="R39" s="11">
        <f>$F39*Daspalla_22!S39</f>
        <v>4415.2371321999999</v>
      </c>
      <c r="S39" s="8" t="s">
        <v>90</v>
      </c>
      <c r="T39" s="21">
        <v>407010304140201</v>
      </c>
    </row>
    <row r="40" spans="1:20" x14ac:dyDescent="0.25">
      <c r="A40" s="8">
        <v>37</v>
      </c>
      <c r="B40" s="8">
        <v>20.346699999999998</v>
      </c>
      <c r="C40" s="8">
        <v>84.562700000000007</v>
      </c>
      <c r="D40" s="3" t="s">
        <v>7</v>
      </c>
      <c r="E40" s="19" t="s">
        <v>93</v>
      </c>
      <c r="F40" s="3">
        <v>2874.931</v>
      </c>
      <c r="G40" s="11">
        <f>$F40*Daspalla_22!H40</f>
        <v>6845.2107109999997</v>
      </c>
      <c r="H40" s="11">
        <f>$F40*Daspalla_22!I40</f>
        <v>6355.3224685999994</v>
      </c>
      <c r="I40" s="11">
        <f>$F40*Daspalla_22!J40</f>
        <v>5786.0861305999997</v>
      </c>
      <c r="J40" s="11">
        <f>$F40*Daspalla_22!K40</f>
        <v>5197.0127686999995</v>
      </c>
      <c r="K40" s="11">
        <f>$F40*Daspalla_22!L40</f>
        <v>4508.7542872999993</v>
      </c>
      <c r="L40" s="11">
        <f>$F40*Daspalla_22!M40</f>
        <v>7906.0602500000005</v>
      </c>
      <c r="M40" s="11">
        <f>$F40*Daspalla_22!N40</f>
        <v>7906.0602500000005</v>
      </c>
      <c r="N40" s="11">
        <f>$F40*Daspalla_22!O40</f>
        <v>7906.0602500000005</v>
      </c>
      <c r="O40" s="11">
        <f>$F40*Daspalla_22!P40</f>
        <v>7906.0602500000005</v>
      </c>
      <c r="P40" s="11">
        <f>$F40*Daspalla_22!Q40</f>
        <v>7906.0602500000005</v>
      </c>
      <c r="Q40" s="11">
        <f>$F40*Daspalla_22!R40</f>
        <v>7537.7815889000003</v>
      </c>
      <c r="R40" s="11">
        <f>$F40*Daspalla_22!S40</f>
        <v>7210.9019342000001</v>
      </c>
      <c r="S40" s="8" t="s">
        <v>90</v>
      </c>
      <c r="T40" s="21">
        <v>407010304140201</v>
      </c>
    </row>
    <row r="41" spans="1:20" x14ac:dyDescent="0.25">
      <c r="A41" s="8">
        <v>38</v>
      </c>
      <c r="B41" s="8">
        <v>20.349</v>
      </c>
      <c r="C41" s="8">
        <v>84.586500000000001</v>
      </c>
      <c r="D41" s="3" t="s">
        <v>7</v>
      </c>
      <c r="E41" s="19" t="s">
        <v>93</v>
      </c>
      <c r="F41" s="3">
        <v>2010.26</v>
      </c>
      <c r="G41" s="11">
        <f>$F41*Daspalla_22!H41</f>
        <v>4786.4290599999995</v>
      </c>
      <c r="H41" s="11">
        <f>$F41*Daspalla_22!I41</f>
        <v>4443.8807559999996</v>
      </c>
      <c r="I41" s="11">
        <f>$F41*Daspalla_22!J41</f>
        <v>4045.8492759999999</v>
      </c>
      <c r="J41" s="11">
        <f>$F41*Daspalla_22!K41</f>
        <v>3633.9470019999999</v>
      </c>
      <c r="K41" s="11">
        <f>$F41*Daspalla_22!L41</f>
        <v>3152.6907579999997</v>
      </c>
      <c r="L41" s="11">
        <f>$F41*Daspalla_22!M41</f>
        <v>5528.2150000000001</v>
      </c>
      <c r="M41" s="11">
        <f>$F41*Daspalla_22!N41</f>
        <v>5528.2150000000001</v>
      </c>
      <c r="N41" s="11">
        <f>$F41*Daspalla_22!O41</f>
        <v>5528.2150000000001</v>
      </c>
      <c r="O41" s="11">
        <f>$F41*Daspalla_22!P41</f>
        <v>5528.2150000000001</v>
      </c>
      <c r="P41" s="11">
        <f>$F41*Daspalla_22!Q41</f>
        <v>5528.2150000000001</v>
      </c>
      <c r="Q41" s="11">
        <f>$F41*Daspalla_22!R41</f>
        <v>5270.7006940000001</v>
      </c>
      <c r="R41" s="11">
        <f>$F41*Daspalla_22!S41</f>
        <v>5042.1341320000001</v>
      </c>
      <c r="S41" s="8" t="s">
        <v>87</v>
      </c>
      <c r="T41" s="21">
        <v>407010304150201</v>
      </c>
    </row>
    <row r="42" spans="1:20" x14ac:dyDescent="0.25">
      <c r="A42" s="8">
        <v>39</v>
      </c>
      <c r="B42" s="8">
        <v>20.351500000000001</v>
      </c>
      <c r="C42" s="8">
        <v>84.588999999999999</v>
      </c>
      <c r="D42" s="3" t="s">
        <v>7</v>
      </c>
      <c r="E42" s="19" t="s">
        <v>93</v>
      </c>
      <c r="F42" s="3">
        <v>477.72300000000001</v>
      </c>
      <c r="G42" s="11">
        <f>$F42*Daspalla_22!H42</f>
        <v>1137.4584629999999</v>
      </c>
      <c r="H42" s="11">
        <f>$F42*Daspalla_22!I42</f>
        <v>1056.0544637999999</v>
      </c>
      <c r="I42" s="11">
        <f>$F42*Daspalla_22!J42</f>
        <v>961.4653098</v>
      </c>
      <c r="J42" s="11">
        <f>$F42*Daspalla_22!K42</f>
        <v>863.5798671</v>
      </c>
      <c r="K42" s="11">
        <f>$F42*Daspalla_22!L42</f>
        <v>749.21298089999993</v>
      </c>
      <c r="L42" s="11">
        <f>$F42*Daspalla_22!M42</f>
        <v>1313.7382500000001</v>
      </c>
      <c r="M42" s="11">
        <f>$F42*Daspalla_22!N42</f>
        <v>1313.7382500000001</v>
      </c>
      <c r="N42" s="11">
        <f>$F42*Daspalla_22!O42</f>
        <v>1313.7382500000001</v>
      </c>
      <c r="O42" s="11">
        <f>$F42*Daspalla_22!P42</f>
        <v>1313.7382500000001</v>
      </c>
      <c r="P42" s="11">
        <f>$F42*Daspalla_22!Q42</f>
        <v>1313.7382500000001</v>
      </c>
      <c r="Q42" s="11">
        <f>$F42*Daspalla_22!R42</f>
        <v>1252.5419337000001</v>
      </c>
      <c r="R42" s="11">
        <f>$F42*Daspalla_22!S42</f>
        <v>1198.2248286000001</v>
      </c>
      <c r="S42" s="8" t="s">
        <v>87</v>
      </c>
      <c r="T42" s="21">
        <v>407010304150201</v>
      </c>
    </row>
    <row r="43" spans="1:20" x14ac:dyDescent="0.25">
      <c r="A43" s="8">
        <v>40</v>
      </c>
      <c r="B43" s="8">
        <v>20.351700000000001</v>
      </c>
      <c r="C43" s="8">
        <v>84.587599999999995</v>
      </c>
      <c r="D43" s="3" t="s">
        <v>7</v>
      </c>
      <c r="E43" s="19" t="s">
        <v>93</v>
      </c>
      <c r="F43" s="3">
        <v>595.64</v>
      </c>
      <c r="G43" s="11">
        <f>$F43*Daspalla_22!H43</f>
        <v>1418.2188399999998</v>
      </c>
      <c r="H43" s="11">
        <f>$F43*Daspalla_22!I43</f>
        <v>1316.7217839999998</v>
      </c>
      <c r="I43" s="11">
        <f>$F43*Daspalla_22!J43</f>
        <v>1198.7850639999999</v>
      </c>
      <c r="J43" s="11">
        <f>$F43*Daspalla_22!K43</f>
        <v>1076.7384279999999</v>
      </c>
      <c r="K43" s="11">
        <f>$F43*Daspalla_22!L43</f>
        <v>934.14221199999986</v>
      </c>
      <c r="L43" s="11">
        <f>$F43*Daspalla_22!M43</f>
        <v>1638.01</v>
      </c>
      <c r="M43" s="11">
        <f>$F43*Daspalla_22!N43</f>
        <v>1638.01</v>
      </c>
      <c r="N43" s="11">
        <f>$F43*Daspalla_22!O43</f>
        <v>1638.01</v>
      </c>
      <c r="O43" s="11">
        <f>$F43*Daspalla_22!P43</f>
        <v>1638.01</v>
      </c>
      <c r="P43" s="11">
        <f>$F43*Daspalla_22!Q43</f>
        <v>1638.01</v>
      </c>
      <c r="Q43" s="11">
        <f>$F43*Daspalla_22!R43</f>
        <v>1561.7085160000001</v>
      </c>
      <c r="R43" s="11">
        <f>$F43*Daspalla_22!S43</f>
        <v>1493.984248</v>
      </c>
      <c r="S43" s="8" t="s">
        <v>87</v>
      </c>
      <c r="T43" s="21">
        <v>407010304150201</v>
      </c>
    </row>
    <row r="44" spans="1:20" x14ac:dyDescent="0.25">
      <c r="A44" s="8">
        <v>41</v>
      </c>
      <c r="B44" s="8">
        <v>20.340900000000001</v>
      </c>
      <c r="C44" s="8">
        <v>84.581900000000005</v>
      </c>
      <c r="D44" s="3" t="s">
        <v>7</v>
      </c>
      <c r="E44" s="19" t="s">
        <v>93</v>
      </c>
      <c r="F44" s="3">
        <v>749.10799999999995</v>
      </c>
      <c r="G44" s="11">
        <f>$F44*Daspalla_22!H44</f>
        <v>1783.6261479999996</v>
      </c>
      <c r="H44" s="11">
        <f>$F44*Daspalla_22!I44</f>
        <v>1655.9781447999999</v>
      </c>
      <c r="I44" s="11">
        <f>$F44*Daspalla_22!J44</f>
        <v>1507.6547607999998</v>
      </c>
      <c r="J44" s="11">
        <f>$F44*Daspalla_22!K44</f>
        <v>1354.1625315999997</v>
      </c>
      <c r="K44" s="11">
        <f>$F44*Daspalla_22!L44</f>
        <v>1174.8260763999997</v>
      </c>
      <c r="L44" s="11">
        <f>$F44*Daspalla_22!M44</f>
        <v>2060.047</v>
      </c>
      <c r="M44" s="11">
        <f>$F44*Daspalla_22!N44</f>
        <v>2060.047</v>
      </c>
      <c r="N44" s="11">
        <f>$F44*Daspalla_22!O44</f>
        <v>2060.047</v>
      </c>
      <c r="O44" s="11">
        <f>$F44*Daspalla_22!P44</f>
        <v>2060.047</v>
      </c>
      <c r="P44" s="11">
        <f>$F44*Daspalla_22!Q44</f>
        <v>2060.047</v>
      </c>
      <c r="Q44" s="11">
        <f>$F44*Daspalla_22!R44</f>
        <v>1964.0862651999998</v>
      </c>
      <c r="R44" s="11">
        <f>$F44*Daspalla_22!S44</f>
        <v>1878.9126855999998</v>
      </c>
      <c r="S44" s="8" t="s">
        <v>87</v>
      </c>
      <c r="T44" s="21">
        <v>407010304150201</v>
      </c>
    </row>
    <row r="45" spans="1:20" x14ac:dyDescent="0.25">
      <c r="A45" s="8">
        <v>42</v>
      </c>
      <c r="B45" s="8">
        <v>20.335999999999999</v>
      </c>
      <c r="C45" s="8">
        <v>84.603200000000001</v>
      </c>
      <c r="D45" s="3" t="s">
        <v>7</v>
      </c>
      <c r="E45" s="19" t="s">
        <v>93</v>
      </c>
      <c r="F45" s="3">
        <v>1380.2280000000001</v>
      </c>
      <c r="G45" s="11">
        <f>$F45*Daspalla_22!H45</f>
        <v>3286.3228679999997</v>
      </c>
      <c r="H45" s="11">
        <f>$F45*Daspalla_22!I45</f>
        <v>3051.1320168000002</v>
      </c>
      <c r="I45" s="11">
        <f>$F45*Daspalla_22!J45</f>
        <v>2777.8468728000003</v>
      </c>
      <c r="J45" s="11">
        <f>$F45*Daspalla_22!K45</f>
        <v>2495.0381555999998</v>
      </c>
      <c r="K45" s="11">
        <f>$F45*Daspalla_22!L45</f>
        <v>2164.6115723999997</v>
      </c>
      <c r="L45" s="11">
        <f>$F45*Daspalla_22!M45</f>
        <v>3795.6270000000004</v>
      </c>
      <c r="M45" s="11">
        <f>$F45*Daspalla_22!N45</f>
        <v>3795.6270000000004</v>
      </c>
      <c r="N45" s="11">
        <f>$F45*Daspalla_22!O45</f>
        <v>3795.6270000000004</v>
      </c>
      <c r="O45" s="11">
        <f>$F45*Daspalla_22!P45</f>
        <v>3795.6270000000004</v>
      </c>
      <c r="P45" s="11">
        <f>$F45*Daspalla_22!Q45</f>
        <v>3795.6270000000004</v>
      </c>
      <c r="Q45" s="11">
        <f>$F45*Daspalla_22!R45</f>
        <v>3618.8197932000003</v>
      </c>
      <c r="R45" s="11">
        <f>$F45*Daspalla_22!S45</f>
        <v>3461.8878696000002</v>
      </c>
      <c r="S45" s="8" t="s">
        <v>86</v>
      </c>
      <c r="T45" s="21">
        <v>407010304150202</v>
      </c>
    </row>
    <row r="46" spans="1:20" x14ac:dyDescent="0.25">
      <c r="A46" s="8">
        <v>43</v>
      </c>
      <c r="B46" s="8">
        <v>20.336200000000002</v>
      </c>
      <c r="C46" s="8">
        <v>84.599699999999999</v>
      </c>
      <c r="D46" s="3" t="s">
        <v>7</v>
      </c>
      <c r="E46" s="19" t="s">
        <v>93</v>
      </c>
      <c r="F46" s="3">
        <v>456.81599999999997</v>
      </c>
      <c r="G46" s="11">
        <f>$F46*Daspalla_22!H46</f>
        <v>630.86289600000009</v>
      </c>
      <c r="H46" s="11">
        <f>$F46*Daspalla_22!I46</f>
        <v>553.0214496000001</v>
      </c>
      <c r="I46" s="11">
        <f>$F46*Daspalla_22!J46</f>
        <v>462.57188160000015</v>
      </c>
      <c r="J46" s="11">
        <f>$F46*Daspalla_22!K46</f>
        <v>368.97028320000015</v>
      </c>
      <c r="K46" s="11">
        <f>$F46*Daspalla_22!L46</f>
        <v>259.60853280000021</v>
      </c>
      <c r="L46" s="11">
        <f>$F46*Daspalla_22!M46</f>
        <v>799.428</v>
      </c>
      <c r="M46" s="11">
        <f>$F46*Daspalla_22!N46</f>
        <v>799.428</v>
      </c>
      <c r="N46" s="11">
        <f>$F46*Daspalla_22!O46</f>
        <v>799.428</v>
      </c>
      <c r="O46" s="11">
        <f>$F46*Daspalla_22!P46</f>
        <v>799.428</v>
      </c>
      <c r="P46" s="11">
        <f>$F46*Daspalla_22!Q46</f>
        <v>799.428</v>
      </c>
      <c r="Q46" s="11">
        <f>$F46*Daspalla_22!R46</f>
        <v>740.90987040000005</v>
      </c>
      <c r="R46" s="11">
        <f>$F46*Daspalla_22!S46</f>
        <v>688.96989120000001</v>
      </c>
      <c r="S46" s="8" t="s">
        <v>86</v>
      </c>
      <c r="T46" s="21">
        <v>407010304150202</v>
      </c>
    </row>
    <row r="47" spans="1:20" x14ac:dyDescent="0.25">
      <c r="A47" s="8">
        <v>44</v>
      </c>
      <c r="B47" s="8">
        <v>20.335100000000001</v>
      </c>
      <c r="C47" s="8">
        <v>84.596800000000002</v>
      </c>
      <c r="D47" s="3" t="s">
        <v>7</v>
      </c>
      <c r="E47" s="19" t="s">
        <v>93</v>
      </c>
      <c r="F47" s="3">
        <v>2560.38</v>
      </c>
      <c r="G47" s="11">
        <f>$F47*Daspalla_22!H47</f>
        <v>6096.2647799999995</v>
      </c>
      <c r="H47" s="11">
        <f>$F47*Daspalla_22!I47</f>
        <v>5659.976028</v>
      </c>
      <c r="I47" s="11">
        <f>$F47*Daspalla_22!J47</f>
        <v>5153.0207879999998</v>
      </c>
      <c r="J47" s="11">
        <f>$F47*Daspalla_22!K47</f>
        <v>4628.3989259999998</v>
      </c>
      <c r="K47" s="11">
        <f>$F47*Daspalla_22!L47</f>
        <v>4015.4439539999998</v>
      </c>
      <c r="L47" s="11">
        <f>$F47*Daspalla_22!M47</f>
        <v>7041.0450000000001</v>
      </c>
      <c r="M47" s="11">
        <f>$F47*Daspalla_22!N47</f>
        <v>7041.0450000000001</v>
      </c>
      <c r="N47" s="11">
        <f>$F47*Daspalla_22!O47</f>
        <v>7041.0450000000001</v>
      </c>
      <c r="O47" s="11">
        <f>$F47*Daspalla_22!P47</f>
        <v>7041.0450000000001</v>
      </c>
      <c r="P47" s="11">
        <f>$F47*Daspalla_22!Q47</f>
        <v>7041.0450000000001</v>
      </c>
      <c r="Q47" s="11">
        <f>$F47*Daspalla_22!R47</f>
        <v>6713.0603220000003</v>
      </c>
      <c r="R47" s="11">
        <f>$F47*Daspalla_22!S47</f>
        <v>6421.9451159999999</v>
      </c>
      <c r="S47" s="8" t="s">
        <v>86</v>
      </c>
      <c r="T47" s="21">
        <v>407010304150202</v>
      </c>
    </row>
    <row r="48" spans="1:20" x14ac:dyDescent="0.25">
      <c r="A48" s="8">
        <v>45</v>
      </c>
      <c r="B48" s="8">
        <v>20.3324</v>
      </c>
      <c r="C48" s="8">
        <v>84.596000000000004</v>
      </c>
      <c r="D48" s="3" t="s">
        <v>7</v>
      </c>
      <c r="E48" s="19" t="s">
        <v>93</v>
      </c>
      <c r="F48" s="3">
        <v>682.15</v>
      </c>
      <c r="G48" s="11">
        <f>$F48*Daspalla_22!H48</f>
        <v>942.04915000000017</v>
      </c>
      <c r="H48" s="11">
        <f>$F48*Daspalla_22!I48</f>
        <v>825.81079000000022</v>
      </c>
      <c r="I48" s="11">
        <f>$F48*Daspalla_22!J48</f>
        <v>690.74509000000023</v>
      </c>
      <c r="J48" s="11">
        <f>$F48*Daspalla_22!K48</f>
        <v>550.97255500000028</v>
      </c>
      <c r="K48" s="11">
        <f>$F48*Daspalla_22!L48</f>
        <v>387.66584500000033</v>
      </c>
      <c r="L48" s="11">
        <f>$F48*Daspalla_22!M48</f>
        <v>1193.7625</v>
      </c>
      <c r="M48" s="11">
        <f>$F48*Daspalla_22!N48</f>
        <v>1193.7625</v>
      </c>
      <c r="N48" s="11">
        <f>$F48*Daspalla_22!O48</f>
        <v>1193.7625</v>
      </c>
      <c r="O48" s="11">
        <f>$F48*Daspalla_22!P48</f>
        <v>1193.7625</v>
      </c>
      <c r="P48" s="11">
        <f>$F48*Daspalla_22!Q48</f>
        <v>1193.7625</v>
      </c>
      <c r="Q48" s="11">
        <f>$F48*Daspalla_22!R48</f>
        <v>1106.379085</v>
      </c>
      <c r="R48" s="11">
        <f>$F48*Daspalla_22!S48</f>
        <v>1028.8186300000002</v>
      </c>
      <c r="S48" s="8" t="s">
        <v>86</v>
      </c>
      <c r="T48" s="21">
        <v>407010304150202</v>
      </c>
    </row>
    <row r="49" spans="1:20" x14ac:dyDescent="0.25">
      <c r="A49" s="8">
        <v>46</v>
      </c>
      <c r="B49" s="8">
        <v>20.3293</v>
      </c>
      <c r="C49" s="8">
        <v>84.596400000000003</v>
      </c>
      <c r="D49" s="3" t="s">
        <v>7</v>
      </c>
      <c r="E49" s="19" t="s">
        <v>93</v>
      </c>
      <c r="F49" s="3">
        <v>2755.7890000000002</v>
      </c>
      <c r="G49" s="11">
        <f>$F49*Daspalla_22!H49</f>
        <v>6561.5336090000001</v>
      </c>
      <c r="H49" s="11">
        <f>$F49*Daspalla_22!I49</f>
        <v>6091.9471634000001</v>
      </c>
      <c r="I49" s="11">
        <f>$F49*Daspalla_22!J49</f>
        <v>5546.3009413999998</v>
      </c>
      <c r="J49" s="11">
        <f>$F49*Daspalla_22!K49</f>
        <v>4981.6397753000001</v>
      </c>
      <c r="K49" s="11">
        <f>$F49*Daspalla_22!L49</f>
        <v>4321.9038886999997</v>
      </c>
      <c r="L49" s="11">
        <f>$F49*Daspalla_22!M49</f>
        <v>7578.4197500000009</v>
      </c>
      <c r="M49" s="11">
        <f>$F49*Daspalla_22!N49</f>
        <v>7578.4197500000009</v>
      </c>
      <c r="N49" s="11">
        <f>$F49*Daspalla_22!O49</f>
        <v>7578.4197500000009</v>
      </c>
      <c r="O49" s="11">
        <f>$F49*Daspalla_22!P49</f>
        <v>7578.4197500000009</v>
      </c>
      <c r="P49" s="11">
        <f>$F49*Daspalla_22!Q49</f>
        <v>7578.4197500000009</v>
      </c>
      <c r="Q49" s="11">
        <f>$F49*Daspalla_22!R49</f>
        <v>7225.4031791000007</v>
      </c>
      <c r="R49" s="11">
        <f>$F49*Daspalla_22!S49</f>
        <v>6912.0699698000008</v>
      </c>
      <c r="S49" s="8" t="s">
        <v>86</v>
      </c>
      <c r="T49" s="21">
        <v>407010304150202</v>
      </c>
    </row>
    <row r="50" spans="1:20" x14ac:dyDescent="0.25">
      <c r="A50" s="8">
        <v>47</v>
      </c>
      <c r="B50" s="8">
        <v>20.321200000000001</v>
      </c>
      <c r="C50" s="8">
        <v>84.604699999999994</v>
      </c>
      <c r="D50" s="3" t="s">
        <v>7</v>
      </c>
      <c r="E50" s="19" t="s">
        <v>93</v>
      </c>
      <c r="F50" s="3">
        <v>2369.7249999999999</v>
      </c>
      <c r="G50" s="11">
        <f>$F50*Daspalla_22!H50</f>
        <v>5642.3152249999994</v>
      </c>
      <c r="H50" s="11">
        <f>$F50*Daspalla_22!I50</f>
        <v>5238.5140849999998</v>
      </c>
      <c r="I50" s="11">
        <f>$F50*Daspalla_22!J50</f>
        <v>4769.3085350000001</v>
      </c>
      <c r="J50" s="11">
        <f>$F50*Daspalla_22!K50</f>
        <v>4283.7518824999997</v>
      </c>
      <c r="K50" s="11">
        <f>$F50*Daspalla_22!L50</f>
        <v>3716.4397174999995</v>
      </c>
      <c r="L50" s="11">
        <f>$F50*Daspalla_22!M50</f>
        <v>6516.7437499999996</v>
      </c>
      <c r="M50" s="11">
        <f>$F50*Daspalla_22!N50</f>
        <v>6516.7437499999996</v>
      </c>
      <c r="N50" s="11">
        <f>$F50*Daspalla_22!O50</f>
        <v>6516.7437499999996</v>
      </c>
      <c r="O50" s="11">
        <f>$F50*Daspalla_22!P50</f>
        <v>6516.7437499999996</v>
      </c>
      <c r="P50" s="11">
        <f>$F50*Daspalla_22!Q50</f>
        <v>6516.7437499999996</v>
      </c>
      <c r="Q50" s="11">
        <f>$F50*Daspalla_22!R50</f>
        <v>6213.1819775000004</v>
      </c>
      <c r="R50" s="11">
        <f>$F50*Daspalla_22!S50</f>
        <v>5943.7442449999999</v>
      </c>
      <c r="S50" s="8" t="s">
        <v>81</v>
      </c>
      <c r="T50" s="21">
        <v>407010304160201</v>
      </c>
    </row>
    <row r="51" spans="1:20" x14ac:dyDescent="0.25">
      <c r="A51" s="8">
        <v>48</v>
      </c>
      <c r="B51" s="8">
        <v>20.319500000000001</v>
      </c>
      <c r="C51" s="8">
        <v>84.605699999999999</v>
      </c>
      <c r="D51" s="3" t="s">
        <v>7</v>
      </c>
      <c r="E51" s="19" t="s">
        <v>93</v>
      </c>
      <c r="F51" s="3">
        <v>6669.1509999999998</v>
      </c>
      <c r="G51" s="11">
        <f>$F51*Daspalla_22!H51</f>
        <v>15879.248530999997</v>
      </c>
      <c r="H51" s="11">
        <f>$F51*Daspalla_22!I51</f>
        <v>14742.825200599998</v>
      </c>
      <c r="I51" s="11">
        <f>$F51*Daspalla_22!J51</f>
        <v>13422.3333026</v>
      </c>
      <c r="J51" s="11">
        <f>$F51*Daspalla_22!K51</f>
        <v>12055.824262699998</v>
      </c>
      <c r="K51" s="11">
        <f>$F51*Daspalla_22!L51</f>
        <v>10459.229513299999</v>
      </c>
      <c r="L51" s="11">
        <f>$F51*Daspalla_22!M51</f>
        <v>18340.165249999998</v>
      </c>
      <c r="M51" s="11">
        <f>$F51*Daspalla_22!N51</f>
        <v>18340.165249999998</v>
      </c>
      <c r="N51" s="11">
        <f>$F51*Daspalla_22!O51</f>
        <v>18340.165249999998</v>
      </c>
      <c r="O51" s="11">
        <f>$F51*Daspalla_22!P51</f>
        <v>18340.165249999998</v>
      </c>
      <c r="P51" s="11">
        <f>$F51*Daspalla_22!Q51</f>
        <v>18340.165249999998</v>
      </c>
      <c r="Q51" s="11">
        <f>$F51*Daspalla_22!R51</f>
        <v>17485.8470069</v>
      </c>
      <c r="R51" s="11">
        <f>$F51*Daspalla_22!S51</f>
        <v>16727.5645382</v>
      </c>
      <c r="S51" s="8" t="s">
        <v>81</v>
      </c>
      <c r="T51" s="21">
        <v>407010304160201</v>
      </c>
    </row>
    <row r="52" spans="1:20" x14ac:dyDescent="0.25">
      <c r="A52" s="8">
        <v>49</v>
      </c>
      <c r="B52" s="8">
        <v>20.328600000000002</v>
      </c>
      <c r="C52" s="8">
        <v>84.611800000000002</v>
      </c>
      <c r="D52" s="3" t="s">
        <v>7</v>
      </c>
      <c r="E52" s="19" t="s">
        <v>93</v>
      </c>
      <c r="F52" s="3">
        <v>7379.8459999999995</v>
      </c>
      <c r="G52" s="11">
        <f>$F52*Daspalla_22!H52</f>
        <v>24951.259325999996</v>
      </c>
      <c r="H52" s="11">
        <f>$F52*Daspalla_22!I52</f>
        <v>23693.733567599997</v>
      </c>
      <c r="I52" s="11">
        <f>$F52*Daspalla_22!J52</f>
        <v>22232.524059599997</v>
      </c>
      <c r="J52" s="11">
        <f>$F52*Daspalla_22!K52</f>
        <v>20720.393614199998</v>
      </c>
      <c r="K52" s="11">
        <f>$F52*Daspalla_22!L52</f>
        <v>18953.658481800001</v>
      </c>
      <c r="L52" s="11">
        <f>$F52*Daspalla_22!M52</f>
        <v>27674.422499999997</v>
      </c>
      <c r="M52" s="11">
        <f>$F52*Daspalla_22!N52</f>
        <v>27674.422499999997</v>
      </c>
      <c r="N52" s="11">
        <f>$F52*Daspalla_22!O52</f>
        <v>27674.422499999997</v>
      </c>
      <c r="O52" s="11">
        <f>$F52*Daspalla_22!P52</f>
        <v>27674.422499999997</v>
      </c>
      <c r="P52" s="11">
        <f>$F52*Daspalla_22!Q52</f>
        <v>27674.422499999997</v>
      </c>
      <c r="Q52" s="11">
        <f>$F52*Daspalla_22!R52</f>
        <v>26729.064227399998</v>
      </c>
      <c r="R52" s="11">
        <f>$F52*Daspalla_22!S52</f>
        <v>25889.975737199999</v>
      </c>
      <c r="S52" s="8" t="s">
        <v>81</v>
      </c>
      <c r="T52" s="21">
        <v>407010304160201</v>
      </c>
    </row>
    <row r="53" spans="1:20" x14ac:dyDescent="0.25">
      <c r="A53" s="8">
        <v>50</v>
      </c>
      <c r="B53" s="8">
        <v>20.328399999999998</v>
      </c>
      <c r="C53" s="8">
        <v>84.620500000000007</v>
      </c>
      <c r="D53" s="3" t="s">
        <v>7</v>
      </c>
      <c r="E53" s="19" t="s">
        <v>93</v>
      </c>
      <c r="F53" s="3">
        <v>2910.7809999999999</v>
      </c>
      <c r="G53" s="11">
        <f>$F53*Daspalla_22!H53</f>
        <v>6930.5695609999993</v>
      </c>
      <c r="H53" s="11">
        <f>$F53*Daspalla_22!I53</f>
        <v>6434.5724785999992</v>
      </c>
      <c r="I53" s="11">
        <f>$F53*Daspalla_22!J53</f>
        <v>5858.2378405999998</v>
      </c>
      <c r="J53" s="11">
        <f>$F53*Daspalla_22!K53</f>
        <v>5261.8188136999997</v>
      </c>
      <c r="K53" s="11">
        <f>$F53*Daspalla_22!L53</f>
        <v>4564.9778422999998</v>
      </c>
      <c r="L53" s="11">
        <f>$F53*Daspalla_22!M53</f>
        <v>8004.6477500000001</v>
      </c>
      <c r="M53" s="11">
        <f>$F53*Daspalla_22!N53</f>
        <v>8004.6477500000001</v>
      </c>
      <c r="N53" s="11">
        <f>$F53*Daspalla_22!O53</f>
        <v>8004.6477500000001</v>
      </c>
      <c r="O53" s="11">
        <f>$F53*Daspalla_22!P53</f>
        <v>8004.6477500000001</v>
      </c>
      <c r="P53" s="11">
        <f>$F53*Daspalla_22!Q53</f>
        <v>8004.6477500000001</v>
      </c>
      <c r="Q53" s="11">
        <f>$F53*Daspalla_22!R53</f>
        <v>7631.7767039</v>
      </c>
      <c r="R53" s="11">
        <f>$F53*Daspalla_22!S53</f>
        <v>7300.8209041999999</v>
      </c>
      <c r="S53" s="8" t="s">
        <v>81</v>
      </c>
      <c r="T53" s="21">
        <v>407010304160201</v>
      </c>
    </row>
    <row r="54" spans="1:20" x14ac:dyDescent="0.25">
      <c r="A54" s="8">
        <v>51</v>
      </c>
      <c r="B54" s="8">
        <v>20.331299999999999</v>
      </c>
      <c r="C54" s="8">
        <v>84.624399999999994</v>
      </c>
      <c r="D54" s="3" t="s">
        <v>7</v>
      </c>
      <c r="E54" s="19" t="s">
        <v>93</v>
      </c>
      <c r="F54" s="3">
        <v>2931.7629999999999</v>
      </c>
      <c r="G54" s="11">
        <f>$F54*Daspalla_22!H54</f>
        <v>9912.2907029999988</v>
      </c>
      <c r="H54" s="11">
        <f>$F54*Daspalla_22!I54</f>
        <v>9412.7182878000003</v>
      </c>
      <c r="I54" s="11">
        <f>$F54*Daspalla_22!J54</f>
        <v>8832.2292137999993</v>
      </c>
      <c r="J54" s="11">
        <f>$F54*Daspalla_22!K54</f>
        <v>8231.5109751</v>
      </c>
      <c r="K54" s="11">
        <f>$F54*Daspalla_22!L54</f>
        <v>7529.6469129000006</v>
      </c>
      <c r="L54" s="11">
        <f>$F54*Daspalla_22!M54</f>
        <v>10994.11125</v>
      </c>
      <c r="M54" s="11">
        <f>$F54*Daspalla_22!N54</f>
        <v>10994.11125</v>
      </c>
      <c r="N54" s="11">
        <f>$F54*Daspalla_22!O54</f>
        <v>10994.11125</v>
      </c>
      <c r="O54" s="11">
        <f>$F54*Daspalla_22!P54</f>
        <v>10994.11125</v>
      </c>
      <c r="P54" s="11">
        <f>$F54*Daspalla_22!Q54</f>
        <v>10994.11125</v>
      </c>
      <c r="Q54" s="11">
        <f>$F54*Daspalla_22!R54</f>
        <v>10618.5524097</v>
      </c>
      <c r="R54" s="11">
        <f>$F54*Daspalla_22!S54</f>
        <v>10285.2109566</v>
      </c>
      <c r="S54" s="8" t="s">
        <v>81</v>
      </c>
      <c r="T54" s="21">
        <v>407010304160201</v>
      </c>
    </row>
    <row r="55" spans="1:20" x14ac:dyDescent="0.25">
      <c r="A55" s="8">
        <v>52</v>
      </c>
      <c r="B55" s="8">
        <v>20.3324</v>
      </c>
      <c r="C55" s="8">
        <v>84.631200000000007</v>
      </c>
      <c r="D55" s="3" t="s">
        <v>7</v>
      </c>
      <c r="E55" s="19" t="s">
        <v>93</v>
      </c>
      <c r="F55" s="3">
        <v>1949.9380000000001</v>
      </c>
      <c r="G55" s="11">
        <f>$F55*Daspalla_22!H55</f>
        <v>4642.8023779999994</v>
      </c>
      <c r="H55" s="11">
        <f>$F55*Daspalla_22!I55</f>
        <v>4310.5329428000005</v>
      </c>
      <c r="I55" s="11">
        <f>$F55*Daspalla_22!J55</f>
        <v>3924.4452188</v>
      </c>
      <c r="J55" s="11">
        <f>$F55*Daspalla_22!K55</f>
        <v>3524.9029225999998</v>
      </c>
      <c r="K55" s="11">
        <f>$F55*Daspalla_22!L55</f>
        <v>3058.0877653999996</v>
      </c>
      <c r="L55" s="11">
        <f>$F55*Daspalla_22!M55</f>
        <v>5362.3294999999998</v>
      </c>
      <c r="M55" s="11">
        <f>$F55*Daspalla_22!N55</f>
        <v>5362.3294999999998</v>
      </c>
      <c r="N55" s="11">
        <f>$F55*Daspalla_22!O55</f>
        <v>5362.3294999999998</v>
      </c>
      <c r="O55" s="11">
        <f>$F55*Daspalla_22!P55</f>
        <v>5362.3294999999998</v>
      </c>
      <c r="P55" s="11">
        <f>$F55*Daspalla_22!Q55</f>
        <v>5362.3294999999998</v>
      </c>
      <c r="Q55" s="11">
        <f>$F55*Daspalla_22!R55</f>
        <v>5112.5424422000006</v>
      </c>
      <c r="R55" s="11">
        <f>$F55*Daspalla_22!S55</f>
        <v>4890.8344916000005</v>
      </c>
      <c r="S55" s="8" t="s">
        <v>81</v>
      </c>
      <c r="T55" s="21">
        <v>407010304160201</v>
      </c>
    </row>
    <row r="56" spans="1:20" x14ac:dyDescent="0.25">
      <c r="A56" s="8">
        <v>53</v>
      </c>
      <c r="B56" s="8">
        <v>20.3294</v>
      </c>
      <c r="C56" s="8">
        <v>84.634399999999999</v>
      </c>
      <c r="D56" s="3" t="s">
        <v>7</v>
      </c>
      <c r="E56" s="19" t="s">
        <v>93</v>
      </c>
      <c r="F56" s="3">
        <v>1236.847</v>
      </c>
      <c r="G56" s="11">
        <f>$F56*Daspalla_22!H56</f>
        <v>1708.0857070000002</v>
      </c>
      <c r="H56" s="11">
        <f>$F56*Daspalla_22!I56</f>
        <v>1497.3269782000004</v>
      </c>
      <c r="I56" s="11">
        <f>$F56*Daspalla_22!J56</f>
        <v>1252.4312722000004</v>
      </c>
      <c r="J56" s="11">
        <f>$F56*Daspalla_22!K56</f>
        <v>999.00132190000045</v>
      </c>
      <c r="K56" s="11">
        <f>$F56*Daspalla_22!L56</f>
        <v>702.90015010000059</v>
      </c>
      <c r="L56" s="11">
        <f>$F56*Daspalla_22!M56</f>
        <v>2164.48225</v>
      </c>
      <c r="M56" s="11">
        <f>$F56*Daspalla_22!N56</f>
        <v>2164.48225</v>
      </c>
      <c r="N56" s="11">
        <f>$F56*Daspalla_22!O56</f>
        <v>2164.48225</v>
      </c>
      <c r="O56" s="11">
        <f>$F56*Daspalla_22!P56</f>
        <v>2164.48225</v>
      </c>
      <c r="P56" s="11">
        <f>$F56*Daspalla_22!Q56</f>
        <v>2164.48225</v>
      </c>
      <c r="Q56" s="11">
        <f>$F56*Daspalla_22!R56</f>
        <v>2006.0421493000001</v>
      </c>
      <c r="R56" s="11">
        <f>$F56*Daspalla_22!S56</f>
        <v>1865.4126454000002</v>
      </c>
      <c r="S56" s="8" t="s">
        <v>81</v>
      </c>
      <c r="T56" s="21">
        <v>407010304160201</v>
      </c>
    </row>
    <row r="57" spans="1:20" x14ac:dyDescent="0.25">
      <c r="A57" s="8">
        <v>54</v>
      </c>
      <c r="B57" s="8">
        <v>20.326699999999999</v>
      </c>
      <c r="C57" s="8">
        <v>84.641099999999994</v>
      </c>
      <c r="D57" s="3" t="s">
        <v>7</v>
      </c>
      <c r="E57" s="19" t="s">
        <v>93</v>
      </c>
      <c r="F57" s="3">
        <v>758.71100000000001</v>
      </c>
      <c r="G57" s="11">
        <f>$F57*Daspalla_22!H57</f>
        <v>1047.7798910000001</v>
      </c>
      <c r="H57" s="11">
        <f>$F57*Daspalla_22!I57</f>
        <v>918.49553660000026</v>
      </c>
      <c r="I57" s="11">
        <f>$F57*Daspalla_22!J57</f>
        <v>768.27075860000036</v>
      </c>
      <c r="J57" s="11">
        <f>$F57*Daspalla_22!K57</f>
        <v>612.81087470000034</v>
      </c>
      <c r="K57" s="11">
        <f>$F57*Daspalla_22!L57</f>
        <v>431.17546130000039</v>
      </c>
      <c r="L57" s="11">
        <f>$F57*Daspalla_22!M57</f>
        <v>1327.74425</v>
      </c>
      <c r="M57" s="11">
        <f>$F57*Daspalla_22!N57</f>
        <v>1327.74425</v>
      </c>
      <c r="N57" s="11">
        <f>$F57*Daspalla_22!O57</f>
        <v>1327.74425</v>
      </c>
      <c r="O57" s="11">
        <f>$F57*Daspalla_22!P57</f>
        <v>1327.74425</v>
      </c>
      <c r="P57" s="11">
        <f>$F57*Daspalla_22!Q57</f>
        <v>1327.74425</v>
      </c>
      <c r="Q57" s="11">
        <f>$F57*Daspalla_22!R57</f>
        <v>1230.5533709000001</v>
      </c>
      <c r="R57" s="11">
        <f>$F57*Daspalla_22!S57</f>
        <v>1144.2879302000001</v>
      </c>
      <c r="S57" s="8" t="s">
        <v>81</v>
      </c>
      <c r="T57" s="21">
        <v>407010304160201</v>
      </c>
    </row>
    <row r="58" spans="1:20" x14ac:dyDescent="0.25">
      <c r="A58" s="8">
        <v>55</v>
      </c>
      <c r="B58" s="8">
        <v>20.328099999999999</v>
      </c>
      <c r="C58" s="8">
        <v>84.648700000000005</v>
      </c>
      <c r="D58" s="3" t="s">
        <v>7</v>
      </c>
      <c r="E58" s="19" t="s">
        <v>93</v>
      </c>
      <c r="F58" s="3">
        <v>1031.9739999999999</v>
      </c>
      <c r="G58" s="11">
        <f>$F58*Daspalla_22!H58</f>
        <v>3489.1040939999993</v>
      </c>
      <c r="H58" s="11">
        <f>$F58*Daspalla_22!I58</f>
        <v>3313.2557243999995</v>
      </c>
      <c r="I58" s="11">
        <f>$F58*Daspalla_22!J58</f>
        <v>3108.9248723999999</v>
      </c>
      <c r="J58" s="11">
        <f>$F58*Daspalla_22!K58</f>
        <v>2897.4733997999997</v>
      </c>
      <c r="K58" s="11">
        <f>$F58*Daspalla_22!L58</f>
        <v>2650.4188242</v>
      </c>
      <c r="L58" s="11">
        <f>$F58*Daspalla_22!M58</f>
        <v>3869.9024999999997</v>
      </c>
      <c r="M58" s="11">
        <f>$F58*Daspalla_22!N58</f>
        <v>3869.9024999999997</v>
      </c>
      <c r="N58" s="11">
        <f>$F58*Daspalla_22!O58</f>
        <v>3869.9024999999997</v>
      </c>
      <c r="O58" s="11">
        <f>$F58*Daspalla_22!P58</f>
        <v>3869.9024999999997</v>
      </c>
      <c r="P58" s="11">
        <f>$F58*Daspalla_22!Q58</f>
        <v>3869.9024999999997</v>
      </c>
      <c r="Q58" s="11">
        <f>$F58*Daspalla_22!R58</f>
        <v>3737.7066305999997</v>
      </c>
      <c r="R58" s="11">
        <f>$F58*Daspalla_22!S58</f>
        <v>3620.3711867999996</v>
      </c>
      <c r="S58" s="8" t="s">
        <v>81</v>
      </c>
      <c r="T58" s="21">
        <v>407010304160201</v>
      </c>
    </row>
    <row r="59" spans="1:20" x14ac:dyDescent="0.25">
      <c r="A59" s="8">
        <v>56</v>
      </c>
      <c r="B59" s="8">
        <v>20.3292</v>
      </c>
      <c r="C59" s="8">
        <v>84.641199999999998</v>
      </c>
      <c r="D59" s="3" t="s">
        <v>7</v>
      </c>
      <c r="E59" s="19" t="s">
        <v>93</v>
      </c>
      <c r="F59" s="3">
        <v>170.351</v>
      </c>
      <c r="G59" s="11">
        <f>$F59*Daspalla_22!H59</f>
        <v>235.25473100000005</v>
      </c>
      <c r="H59" s="11">
        <f>$F59*Daspalla_22!I59</f>
        <v>206.22692060000006</v>
      </c>
      <c r="I59" s="11">
        <f>$F59*Daspalla_22!J59</f>
        <v>172.49742260000008</v>
      </c>
      <c r="J59" s="11">
        <f>$F59*Daspalla_22!K59</f>
        <v>137.59250270000007</v>
      </c>
      <c r="K59" s="11">
        <f>$F59*Daspalla_22!L59</f>
        <v>96.810473300000083</v>
      </c>
      <c r="L59" s="11">
        <f>$F59*Daspalla_22!M59</f>
        <v>298.11424999999997</v>
      </c>
      <c r="M59" s="11">
        <f>$F59*Daspalla_22!N59</f>
        <v>298.11424999999997</v>
      </c>
      <c r="N59" s="11">
        <f>$F59*Daspalla_22!O59</f>
        <v>298.11424999999997</v>
      </c>
      <c r="O59" s="11">
        <f>$F59*Daspalla_22!P59</f>
        <v>298.11424999999997</v>
      </c>
      <c r="P59" s="11">
        <f>$F59*Daspalla_22!Q59</f>
        <v>298.11424999999997</v>
      </c>
      <c r="Q59" s="11">
        <f>$F59*Daspalla_22!R59</f>
        <v>276.29228690000002</v>
      </c>
      <c r="R59" s="11">
        <f>$F59*Daspalla_22!S59</f>
        <v>256.92337820000006</v>
      </c>
      <c r="S59" s="8" t="s">
        <v>81</v>
      </c>
      <c r="T59" s="21">
        <v>407010304160201</v>
      </c>
    </row>
    <row r="60" spans="1:20" x14ac:dyDescent="0.25">
      <c r="A60" s="8">
        <v>57</v>
      </c>
      <c r="B60" s="8">
        <v>20.3306</v>
      </c>
      <c r="C60" s="8">
        <v>84.638999999999996</v>
      </c>
      <c r="D60" s="3" t="s">
        <v>7</v>
      </c>
      <c r="E60" s="19" t="s">
        <v>93</v>
      </c>
      <c r="F60" s="3">
        <v>586.11</v>
      </c>
      <c r="G60" s="11">
        <f>$F60*Daspalla_22!H60</f>
        <v>809.41791000000012</v>
      </c>
      <c r="H60" s="11">
        <f>$F60*Daspalla_22!I60</f>
        <v>709.54476600000021</v>
      </c>
      <c r="I60" s="11">
        <f>$F60*Daspalla_22!J60</f>
        <v>593.49498600000027</v>
      </c>
      <c r="J60" s="11">
        <f>$F60*Daspalla_22!K60</f>
        <v>473.40104700000023</v>
      </c>
      <c r="K60" s="11">
        <f>$F60*Daspalla_22!L60</f>
        <v>333.0863130000003</v>
      </c>
      <c r="L60" s="11">
        <f>$F60*Daspalla_22!M60</f>
        <v>1025.6925000000001</v>
      </c>
      <c r="M60" s="11">
        <f>$F60*Daspalla_22!N60</f>
        <v>1025.6925000000001</v>
      </c>
      <c r="N60" s="11">
        <f>$F60*Daspalla_22!O60</f>
        <v>1025.6925000000001</v>
      </c>
      <c r="O60" s="11">
        <f>$F60*Daspalla_22!P60</f>
        <v>1025.6925000000001</v>
      </c>
      <c r="P60" s="11">
        <f>$F60*Daspalla_22!Q60</f>
        <v>1025.6925000000001</v>
      </c>
      <c r="Q60" s="11">
        <f>$F60*Daspalla_22!R60</f>
        <v>950.61180900000011</v>
      </c>
      <c r="R60" s="11">
        <f>$F60*Daspalla_22!S60</f>
        <v>883.97110200000009</v>
      </c>
      <c r="S60" s="8" t="s">
        <v>81</v>
      </c>
      <c r="T60" s="21">
        <v>407010304160201</v>
      </c>
    </row>
    <row r="61" spans="1:20" x14ac:dyDescent="0.25">
      <c r="A61" s="8">
        <v>58</v>
      </c>
      <c r="B61" s="8">
        <v>20.322900000000001</v>
      </c>
      <c r="C61" s="8">
        <v>84.629599999999996</v>
      </c>
      <c r="D61" s="3" t="s">
        <v>7</v>
      </c>
      <c r="E61" s="19" t="s">
        <v>93</v>
      </c>
      <c r="F61" s="3">
        <v>4415.68</v>
      </c>
      <c r="G61" s="11">
        <f>$F61*Daspalla_22!H61</f>
        <v>10513.73408</v>
      </c>
      <c r="H61" s="11">
        <f>$F61*Daspalla_22!I61</f>
        <v>9761.302208000001</v>
      </c>
      <c r="I61" s="11">
        <f>$F61*Daspalla_22!J61</f>
        <v>8886.9975680000007</v>
      </c>
      <c r="J61" s="11">
        <f>$F61*Daspalla_22!K61</f>
        <v>7982.2247360000001</v>
      </c>
      <c r="K61" s="11">
        <f>$F61*Daspalla_22!L61</f>
        <v>6925.110944</v>
      </c>
      <c r="L61" s="11">
        <f>$F61*Daspalla_22!M61</f>
        <v>12143.12</v>
      </c>
      <c r="M61" s="11">
        <f>$F61*Daspalla_22!N61</f>
        <v>12143.12</v>
      </c>
      <c r="N61" s="11">
        <f>$F61*Daspalla_22!O61</f>
        <v>12143.12</v>
      </c>
      <c r="O61" s="11">
        <f>$F61*Daspalla_22!P61</f>
        <v>12143.12</v>
      </c>
      <c r="P61" s="11">
        <f>$F61*Daspalla_22!Q61</f>
        <v>12143.12</v>
      </c>
      <c r="Q61" s="11">
        <f>$F61*Daspalla_22!R61</f>
        <v>11577.471392000001</v>
      </c>
      <c r="R61" s="11">
        <f>$F61*Daspalla_22!S61</f>
        <v>11075.408576</v>
      </c>
      <c r="S61" s="8" t="s">
        <v>81</v>
      </c>
      <c r="T61" s="21">
        <v>407010304160201</v>
      </c>
    </row>
    <row r="62" spans="1:20" x14ac:dyDescent="0.25">
      <c r="A62" s="8">
        <v>59</v>
      </c>
      <c r="B62" s="8">
        <v>20.337</v>
      </c>
      <c r="C62" s="8">
        <v>84.63</v>
      </c>
      <c r="D62" s="3" t="s">
        <v>7</v>
      </c>
      <c r="E62" s="19" t="s">
        <v>93</v>
      </c>
      <c r="F62" s="3">
        <v>680.73400000000004</v>
      </c>
      <c r="G62" s="11">
        <f>$F62*Daspalla_22!H62</f>
        <v>2301.5616540000001</v>
      </c>
      <c r="H62" s="11">
        <f>$F62*Daspalla_22!I62</f>
        <v>2185.5645804000001</v>
      </c>
      <c r="I62" s="11">
        <f>$F62*Daspalla_22!J62</f>
        <v>2050.7792484000001</v>
      </c>
      <c r="J62" s="11">
        <f>$F62*Daspalla_22!K62</f>
        <v>1911.2968518000002</v>
      </c>
      <c r="K62" s="11">
        <f>$F62*Daspalla_22!L62</f>
        <v>1748.3291322000002</v>
      </c>
      <c r="L62" s="11">
        <f>$F62*Daspalla_22!M62</f>
        <v>2552.7525000000001</v>
      </c>
      <c r="M62" s="11">
        <f>$F62*Daspalla_22!N62</f>
        <v>2552.7525000000001</v>
      </c>
      <c r="N62" s="11">
        <f>$F62*Daspalla_22!O62</f>
        <v>2552.7525000000001</v>
      </c>
      <c r="O62" s="11">
        <f>$F62*Daspalla_22!P62</f>
        <v>2552.7525000000001</v>
      </c>
      <c r="P62" s="11">
        <f>$F62*Daspalla_22!Q62</f>
        <v>2552.7525000000001</v>
      </c>
      <c r="Q62" s="11">
        <f>$F62*Daspalla_22!R62</f>
        <v>2465.5504746000001</v>
      </c>
      <c r="R62" s="11">
        <f>$F62*Daspalla_22!S62</f>
        <v>2388.1510188000002</v>
      </c>
      <c r="S62" s="8" t="s">
        <v>81</v>
      </c>
      <c r="T62" s="21">
        <v>407010304160201</v>
      </c>
    </row>
    <row r="63" spans="1:20" x14ac:dyDescent="0.25">
      <c r="A63" s="8">
        <v>60</v>
      </c>
      <c r="B63" s="8">
        <v>20.3384</v>
      </c>
      <c r="C63" s="8">
        <v>84.633499999999998</v>
      </c>
      <c r="D63" s="3" t="s">
        <v>7</v>
      </c>
      <c r="E63" s="19" t="s">
        <v>93</v>
      </c>
      <c r="F63" s="3">
        <v>424.97899999999998</v>
      </c>
      <c r="G63" s="11">
        <f>$F63*Daspalla_22!H63</f>
        <v>586.89599900000007</v>
      </c>
      <c r="H63" s="11">
        <f>$F63*Daspalla_22!I63</f>
        <v>514.47957740000015</v>
      </c>
      <c r="I63" s="11">
        <f>$F63*Daspalla_22!J63</f>
        <v>430.33373540000014</v>
      </c>
      <c r="J63" s="11">
        <f>$F63*Daspalla_22!K63</f>
        <v>343.25553830000018</v>
      </c>
      <c r="K63" s="11">
        <f>$F63*Daspalla_22!L63</f>
        <v>241.5155657000002</v>
      </c>
      <c r="L63" s="11">
        <f>$F63*Daspalla_22!M63</f>
        <v>743.71325000000002</v>
      </c>
      <c r="M63" s="11">
        <f>$F63*Daspalla_22!N63</f>
        <v>743.71325000000002</v>
      </c>
      <c r="N63" s="11">
        <f>$F63*Daspalla_22!O63</f>
        <v>743.71325000000002</v>
      </c>
      <c r="O63" s="11">
        <f>$F63*Daspalla_22!P63</f>
        <v>743.71325000000002</v>
      </c>
      <c r="P63" s="11">
        <f>$F63*Daspalla_22!Q63</f>
        <v>743.71325000000002</v>
      </c>
      <c r="Q63" s="11">
        <f>$F63*Daspalla_22!R63</f>
        <v>689.27344010000002</v>
      </c>
      <c r="R63" s="11">
        <f>$F63*Daspalla_22!S63</f>
        <v>640.95332780000001</v>
      </c>
      <c r="S63" s="8" t="s">
        <v>81</v>
      </c>
      <c r="T63" s="21">
        <v>407010304160201</v>
      </c>
    </row>
    <row r="64" spans="1:20" x14ac:dyDescent="0.25">
      <c r="A64" s="8">
        <v>61</v>
      </c>
      <c r="B64" s="8">
        <v>20.340199999999999</v>
      </c>
      <c r="C64" s="8">
        <v>84.638000000000005</v>
      </c>
      <c r="D64" s="3" t="s">
        <v>7</v>
      </c>
      <c r="E64" s="19" t="s">
        <v>93</v>
      </c>
      <c r="F64" s="3">
        <v>927.577</v>
      </c>
      <c r="G64" s="11">
        <f>$F64*Daspalla_22!H64</f>
        <v>1280.9838370000002</v>
      </c>
      <c r="H64" s="11">
        <f>$F64*Daspalla_22!I64</f>
        <v>1122.9247162000004</v>
      </c>
      <c r="I64" s="11">
        <f>$F64*Daspalla_22!J64</f>
        <v>939.26447020000035</v>
      </c>
      <c r="J64" s="11">
        <f>$F64*Daspalla_22!K64</f>
        <v>749.20394290000036</v>
      </c>
      <c r="K64" s="11">
        <f>$F64*Daspalla_22!L64</f>
        <v>527.14200910000045</v>
      </c>
      <c r="L64" s="11">
        <f>$F64*Daspalla_22!M64</f>
        <v>1623.2597499999999</v>
      </c>
      <c r="M64" s="11">
        <f>$F64*Daspalla_22!N64</f>
        <v>1623.2597499999999</v>
      </c>
      <c r="N64" s="11">
        <f>$F64*Daspalla_22!O64</f>
        <v>1623.2597499999999</v>
      </c>
      <c r="O64" s="11">
        <f>$F64*Daspalla_22!P64</f>
        <v>1623.2597499999999</v>
      </c>
      <c r="P64" s="11">
        <f>$F64*Daspalla_22!Q64</f>
        <v>1623.2597499999999</v>
      </c>
      <c r="Q64" s="11">
        <f>$F64*Daspalla_22!R64</f>
        <v>1504.4371363</v>
      </c>
      <c r="R64" s="11">
        <f>$F64*Daspalla_22!S64</f>
        <v>1398.9716314000002</v>
      </c>
      <c r="S64" s="8" t="s">
        <v>81</v>
      </c>
      <c r="T64" s="21">
        <v>407010304160201</v>
      </c>
    </row>
    <row r="65" spans="1:20" x14ac:dyDescent="0.25">
      <c r="A65" s="8">
        <v>62</v>
      </c>
      <c r="B65" s="8">
        <v>20.339300000000001</v>
      </c>
      <c r="C65" s="8">
        <v>84.628500000000003</v>
      </c>
      <c r="D65" s="3" t="s">
        <v>7</v>
      </c>
      <c r="E65" s="19" t="s">
        <v>93</v>
      </c>
      <c r="F65" s="3">
        <v>1079.7950000000001</v>
      </c>
      <c r="G65" s="11">
        <f>$F65*Daspalla_22!H65</f>
        <v>2570.9918950000001</v>
      </c>
      <c r="H65" s="11">
        <f>$F65*Daspalla_22!I65</f>
        <v>2386.994827</v>
      </c>
      <c r="I65" s="11">
        <f>$F65*Daspalla_22!J65</f>
        <v>2173.1954169999999</v>
      </c>
      <c r="J65" s="11">
        <f>$F65*Daspalla_22!K65</f>
        <v>1951.9454215000001</v>
      </c>
      <c r="K65" s="11">
        <f>$F65*Daspalla_22!L65</f>
        <v>1693.4424984999998</v>
      </c>
      <c r="L65" s="11">
        <f>$F65*Daspalla_22!M65</f>
        <v>2969.4362500000002</v>
      </c>
      <c r="M65" s="11">
        <f>$F65*Daspalla_22!N65</f>
        <v>2969.4362500000002</v>
      </c>
      <c r="N65" s="11">
        <f>$F65*Daspalla_22!O65</f>
        <v>2969.4362500000002</v>
      </c>
      <c r="O65" s="11">
        <f>$F65*Daspalla_22!P65</f>
        <v>2969.4362500000002</v>
      </c>
      <c r="P65" s="11">
        <f>$F65*Daspalla_22!Q65</f>
        <v>2969.4362500000002</v>
      </c>
      <c r="Q65" s="11">
        <f>$F65*Daspalla_22!R65</f>
        <v>2831.1145105000005</v>
      </c>
      <c r="R65" s="11">
        <f>$F65*Daspalla_22!S65</f>
        <v>2708.3418190000002</v>
      </c>
      <c r="S65" s="8" t="s">
        <v>81</v>
      </c>
      <c r="T65" s="21">
        <v>407010304160201</v>
      </c>
    </row>
    <row r="66" spans="1:20" x14ac:dyDescent="0.25">
      <c r="A66" s="8">
        <v>63</v>
      </c>
      <c r="B66" s="8">
        <v>20.341699999999999</v>
      </c>
      <c r="C66" s="8">
        <v>84.629499999999993</v>
      </c>
      <c r="D66" s="3" t="s">
        <v>7</v>
      </c>
      <c r="E66" s="19" t="s">
        <v>93</v>
      </c>
      <c r="F66" s="3">
        <v>511.233</v>
      </c>
      <c r="G66" s="11">
        <f>$F66*Daspalla_22!H66</f>
        <v>1217.2457729999999</v>
      </c>
      <c r="H66" s="11">
        <f>$F66*Daspalla_22!I66</f>
        <v>1130.1316698000001</v>
      </c>
      <c r="I66" s="11">
        <f>$F66*Daspalla_22!J66</f>
        <v>1028.9075358</v>
      </c>
      <c r="J66" s="11">
        <f>$F66*Daspalla_22!K66</f>
        <v>924.15589409999995</v>
      </c>
      <c r="K66" s="11">
        <f>$F66*Daspalla_22!L66</f>
        <v>801.7667138999999</v>
      </c>
      <c r="L66" s="11">
        <f>$F66*Daspalla_22!M66</f>
        <v>1405.89075</v>
      </c>
      <c r="M66" s="11">
        <f>$F66*Daspalla_22!N66</f>
        <v>1405.89075</v>
      </c>
      <c r="N66" s="11">
        <f>$F66*Daspalla_22!O66</f>
        <v>1405.89075</v>
      </c>
      <c r="O66" s="11">
        <f>$F66*Daspalla_22!P66</f>
        <v>1405.89075</v>
      </c>
      <c r="P66" s="11">
        <f>$F66*Daspalla_22!Q66</f>
        <v>1405.89075</v>
      </c>
      <c r="Q66" s="11">
        <f>$F66*Daspalla_22!R66</f>
        <v>1340.4018027</v>
      </c>
      <c r="R66" s="11">
        <f>$F66*Daspalla_22!S66</f>
        <v>1282.2746106</v>
      </c>
      <c r="S66" s="8" t="s">
        <v>81</v>
      </c>
      <c r="T66" s="21">
        <v>407010304160201</v>
      </c>
    </row>
    <row r="67" spans="1:20" x14ac:dyDescent="0.25">
      <c r="A67" s="8">
        <v>64</v>
      </c>
      <c r="B67" s="8">
        <v>20.3383</v>
      </c>
      <c r="C67" s="8">
        <v>84.6233</v>
      </c>
      <c r="D67" s="3" t="s">
        <v>7</v>
      </c>
      <c r="E67" s="19" t="s">
        <v>93</v>
      </c>
      <c r="F67" s="3">
        <v>1011.7910000000001</v>
      </c>
      <c r="G67" s="11">
        <f>$F67*Daspalla_22!H67</f>
        <v>2409.0743709999997</v>
      </c>
      <c r="H67" s="11">
        <f>$F67*Daspalla_22!I67</f>
        <v>2236.6651846</v>
      </c>
      <c r="I67" s="11">
        <f>$F67*Daspalla_22!J67</f>
        <v>2036.3305666000001</v>
      </c>
      <c r="J67" s="11">
        <f>$F67*Daspalla_22!K67</f>
        <v>1829.0145906999999</v>
      </c>
      <c r="K67" s="11">
        <f>$F67*Daspalla_22!L67</f>
        <v>1586.7918252999998</v>
      </c>
      <c r="L67" s="11">
        <f>$F67*Daspalla_22!M67</f>
        <v>2782.4252500000002</v>
      </c>
      <c r="M67" s="11">
        <f>$F67*Daspalla_22!N67</f>
        <v>2782.4252500000002</v>
      </c>
      <c r="N67" s="11">
        <f>$F67*Daspalla_22!O67</f>
        <v>2782.4252500000002</v>
      </c>
      <c r="O67" s="11">
        <f>$F67*Daspalla_22!P67</f>
        <v>2782.4252500000002</v>
      </c>
      <c r="P67" s="11">
        <f>$F67*Daspalla_22!Q67</f>
        <v>2782.4252500000002</v>
      </c>
      <c r="Q67" s="11">
        <f>$F67*Daspalla_22!R67</f>
        <v>2652.8148229000003</v>
      </c>
      <c r="R67" s="11">
        <f>$F67*Daspalla_22!S67</f>
        <v>2537.7741862000003</v>
      </c>
      <c r="S67" s="8" t="s">
        <v>81</v>
      </c>
      <c r="T67" s="21">
        <v>407010304160201</v>
      </c>
    </row>
    <row r="68" spans="1:20" x14ac:dyDescent="0.25">
      <c r="A68" s="8">
        <v>65</v>
      </c>
      <c r="B68" s="8">
        <v>20.335599999999999</v>
      </c>
      <c r="C68" s="8">
        <v>84.623000000000005</v>
      </c>
      <c r="D68" s="3" t="s">
        <v>7</v>
      </c>
      <c r="E68" s="19" t="s">
        <v>93</v>
      </c>
      <c r="F68" s="3">
        <v>466.06700000000001</v>
      </c>
      <c r="G68" s="11">
        <f>$F68*Daspalla_22!H68</f>
        <v>643.63852700000007</v>
      </c>
      <c r="H68" s="11">
        <f>$F68*Daspalla_22!I68</f>
        <v>564.22071020000021</v>
      </c>
      <c r="I68" s="11">
        <f>$F68*Daspalla_22!J68</f>
        <v>471.9394442000002</v>
      </c>
      <c r="J68" s="11">
        <f>$F68*Daspalla_22!K68</f>
        <v>376.44231590000021</v>
      </c>
      <c r="K68" s="11">
        <f>$F68*Daspalla_22!L68</f>
        <v>264.86587610000021</v>
      </c>
      <c r="L68" s="11">
        <f>$F68*Daspalla_22!M68</f>
        <v>815.61725000000001</v>
      </c>
      <c r="M68" s="11">
        <f>$F68*Daspalla_22!N68</f>
        <v>815.61725000000001</v>
      </c>
      <c r="N68" s="11">
        <f>$F68*Daspalla_22!O68</f>
        <v>815.61725000000001</v>
      </c>
      <c r="O68" s="11">
        <f>$F68*Daspalla_22!P68</f>
        <v>815.61725000000001</v>
      </c>
      <c r="P68" s="11">
        <f>$F68*Daspalla_22!Q68</f>
        <v>815.61725000000001</v>
      </c>
      <c r="Q68" s="11">
        <f>$F68*Daspalla_22!R68</f>
        <v>755.91406730000006</v>
      </c>
      <c r="R68" s="11">
        <f>$F68*Daspalla_22!S68</f>
        <v>702.92224940000006</v>
      </c>
      <c r="S68" s="8" t="s">
        <v>81</v>
      </c>
      <c r="T68" s="21">
        <v>407010304160201</v>
      </c>
    </row>
    <row r="69" spans="1:20" x14ac:dyDescent="0.25">
      <c r="A69" s="8">
        <v>66</v>
      </c>
      <c r="B69" s="8">
        <v>20.305499999999999</v>
      </c>
      <c r="C69" s="8">
        <v>84.636399999999995</v>
      </c>
      <c r="D69" s="3" t="s">
        <v>7</v>
      </c>
      <c r="E69" s="19" t="s">
        <v>93</v>
      </c>
      <c r="F69" s="3">
        <v>311.87799999999999</v>
      </c>
      <c r="G69" s="11">
        <f>$F69*Daspalla_22!H69</f>
        <v>430.70351800000003</v>
      </c>
      <c r="H69" s="11">
        <f>$F69*Daspalla_22!I69</f>
        <v>377.55950680000007</v>
      </c>
      <c r="I69" s="11">
        <f>$F69*Daspalla_22!J69</f>
        <v>315.80766280000012</v>
      </c>
      <c r="J69" s="11">
        <f>$F69*Daspalla_22!K69</f>
        <v>251.90386060000012</v>
      </c>
      <c r="K69" s="11">
        <f>$F69*Daspalla_22!L69</f>
        <v>177.24026740000014</v>
      </c>
      <c r="L69" s="11">
        <f>$F69*Daspalla_22!M69</f>
        <v>545.78649999999993</v>
      </c>
      <c r="M69" s="11">
        <f>$F69*Daspalla_22!N69</f>
        <v>545.78649999999993</v>
      </c>
      <c r="N69" s="11">
        <f>$F69*Daspalla_22!O69</f>
        <v>545.78649999999993</v>
      </c>
      <c r="O69" s="11">
        <f>$F69*Daspalla_22!P69</f>
        <v>545.78649999999993</v>
      </c>
      <c r="P69" s="11">
        <f>$F69*Daspalla_22!Q69</f>
        <v>545.78649999999993</v>
      </c>
      <c r="Q69" s="11">
        <f>$F69*Daspalla_22!R69</f>
        <v>505.83492820000004</v>
      </c>
      <c r="R69" s="11">
        <f>$F69*Daspalla_22!S69</f>
        <v>470.37439960000006</v>
      </c>
      <c r="S69" s="8" t="s">
        <v>83</v>
      </c>
      <c r="T69" s="21">
        <v>407010304160102</v>
      </c>
    </row>
    <row r="70" spans="1:20" x14ac:dyDescent="0.25">
      <c r="A70" s="8">
        <v>67</v>
      </c>
      <c r="B70" s="8">
        <v>20.305900000000001</v>
      </c>
      <c r="C70" s="8">
        <v>84.643500000000003</v>
      </c>
      <c r="D70" s="3" t="s">
        <v>7</v>
      </c>
      <c r="E70" s="19" t="s">
        <v>93</v>
      </c>
      <c r="F70" s="3">
        <v>433.40600000000001</v>
      </c>
      <c r="G70" s="11">
        <f>$F70*Daspalla_22!H70</f>
        <v>598.5336860000001</v>
      </c>
      <c r="H70" s="11">
        <f>$F70*Daspalla_22!I70</f>
        <v>524.68130360000021</v>
      </c>
      <c r="I70" s="11">
        <f>$F70*Daspalla_22!J70</f>
        <v>438.8669156000002</v>
      </c>
      <c r="J70" s="11">
        <f>$F70*Daspalla_22!K70</f>
        <v>350.06202620000016</v>
      </c>
      <c r="K70" s="11">
        <f>$F70*Daspalla_22!L70</f>
        <v>246.30462980000021</v>
      </c>
      <c r="L70" s="11">
        <f>$F70*Daspalla_22!M70</f>
        <v>758.46050000000002</v>
      </c>
      <c r="M70" s="11">
        <f>$F70*Daspalla_22!N70</f>
        <v>758.46050000000002</v>
      </c>
      <c r="N70" s="11">
        <f>$F70*Daspalla_22!O70</f>
        <v>758.46050000000002</v>
      </c>
      <c r="O70" s="11">
        <f>$F70*Daspalla_22!P70</f>
        <v>758.46050000000002</v>
      </c>
      <c r="P70" s="11">
        <f>$F70*Daspalla_22!Q70</f>
        <v>758.46050000000002</v>
      </c>
      <c r="Q70" s="11">
        <f>$F70*Daspalla_22!R70</f>
        <v>702.94119140000009</v>
      </c>
      <c r="R70" s="11">
        <f>$F70*Daspalla_22!S70</f>
        <v>653.66292920000012</v>
      </c>
      <c r="S70" s="8" t="s">
        <v>83</v>
      </c>
      <c r="T70" s="21">
        <v>407010304160102</v>
      </c>
    </row>
    <row r="71" spans="1:20" x14ac:dyDescent="0.25">
      <c r="A71" s="8">
        <v>68</v>
      </c>
      <c r="B71" s="8">
        <v>20.3096</v>
      </c>
      <c r="C71" s="8">
        <v>84.6417</v>
      </c>
      <c r="D71" s="3" t="s">
        <v>7</v>
      </c>
      <c r="E71" s="19" t="s">
        <v>93</v>
      </c>
      <c r="F71" s="3">
        <v>1342.0160000000001</v>
      </c>
      <c r="G71" s="11">
        <f>$F71*Daspalla_22!H71</f>
        <v>1853.3240960000005</v>
      </c>
      <c r="H71" s="11">
        <f>$F71*Daspalla_22!I71</f>
        <v>1624.6445696000005</v>
      </c>
      <c r="I71" s="11">
        <f>$F71*Daspalla_22!J71</f>
        <v>1358.9254016000007</v>
      </c>
      <c r="J71" s="11">
        <f>$F71*Daspalla_22!K71</f>
        <v>1083.9463232000007</v>
      </c>
      <c r="K71" s="11">
        <f>$F71*Daspalla_22!L71</f>
        <v>762.66769280000062</v>
      </c>
      <c r="L71" s="11">
        <f>$F71*Daspalla_22!M71</f>
        <v>2348.5280000000002</v>
      </c>
      <c r="M71" s="11">
        <f>$F71*Daspalla_22!N71</f>
        <v>2348.5280000000002</v>
      </c>
      <c r="N71" s="11">
        <f>$F71*Daspalla_22!O71</f>
        <v>2348.5280000000002</v>
      </c>
      <c r="O71" s="11">
        <f>$F71*Daspalla_22!P71</f>
        <v>2348.5280000000002</v>
      </c>
      <c r="P71" s="11">
        <f>$F71*Daspalla_22!Q71</f>
        <v>2348.5280000000002</v>
      </c>
      <c r="Q71" s="11">
        <f>$F71*Daspalla_22!R71</f>
        <v>2176.6157504000003</v>
      </c>
      <c r="R71" s="11">
        <f>$F71*Daspalla_22!S71</f>
        <v>2024.0285312000003</v>
      </c>
      <c r="S71" s="8" t="s">
        <v>83</v>
      </c>
      <c r="T71" s="21">
        <v>407010304160102</v>
      </c>
    </row>
    <row r="72" spans="1:20" x14ac:dyDescent="0.25">
      <c r="A72" s="8">
        <v>69</v>
      </c>
      <c r="B72" s="8">
        <v>20.309799999999999</v>
      </c>
      <c r="C72" s="8">
        <v>84.642200000000003</v>
      </c>
      <c r="D72" s="3" t="s">
        <v>7</v>
      </c>
      <c r="E72" s="19" t="s">
        <v>93</v>
      </c>
      <c r="F72" s="3">
        <v>4918.4470000000001</v>
      </c>
      <c r="G72" s="11">
        <f>$F72*Daspalla_22!H72</f>
        <v>11710.822306999999</v>
      </c>
      <c r="H72" s="11">
        <f>$F72*Daspalla_22!I72</f>
        <v>10872.7189382</v>
      </c>
      <c r="I72" s="11">
        <f>$F72*Daspalla_22!J72</f>
        <v>9898.8664322000004</v>
      </c>
      <c r="J72" s="11">
        <f>$F72*Daspalla_22!K72</f>
        <v>8891.0766418999992</v>
      </c>
      <c r="K72" s="11">
        <f>$F72*Daspalla_22!L72</f>
        <v>7713.6004300999994</v>
      </c>
      <c r="L72" s="11">
        <f>$F72*Daspalla_22!M72</f>
        <v>13525.72925</v>
      </c>
      <c r="M72" s="11">
        <f>$F72*Daspalla_22!N72</f>
        <v>13525.72925</v>
      </c>
      <c r="N72" s="11">
        <f>$F72*Daspalla_22!O72</f>
        <v>13525.72925</v>
      </c>
      <c r="O72" s="11">
        <f>$F72*Daspalla_22!P72</f>
        <v>13525.72925</v>
      </c>
      <c r="P72" s="11">
        <f>$F72*Daspalla_22!Q72</f>
        <v>13525.72925</v>
      </c>
      <c r="Q72" s="11">
        <f>$F72*Daspalla_22!R72</f>
        <v>12895.6761893</v>
      </c>
      <c r="R72" s="11">
        <f>$F72*Daspalla_22!S72</f>
        <v>12336.4487654</v>
      </c>
      <c r="S72" s="8" t="s">
        <v>83</v>
      </c>
      <c r="T72" s="21">
        <v>407010304160102</v>
      </c>
    </row>
    <row r="73" spans="1:20" x14ac:dyDescent="0.25">
      <c r="A73" s="8">
        <v>70</v>
      </c>
      <c r="B73" s="8">
        <v>20.313300000000002</v>
      </c>
      <c r="C73" s="8">
        <v>84.6434</v>
      </c>
      <c r="D73" s="3" t="s">
        <v>7</v>
      </c>
      <c r="E73" s="19" t="s">
        <v>93</v>
      </c>
      <c r="F73" s="3">
        <v>1022.015</v>
      </c>
      <c r="G73" s="11">
        <f>$F73*Daspalla_22!H73</f>
        <v>1411.4027150000002</v>
      </c>
      <c r="H73" s="11">
        <f>$F73*Daspalla_22!I73</f>
        <v>1237.2513590000003</v>
      </c>
      <c r="I73" s="11">
        <f>$F73*Daspalla_22!J73</f>
        <v>1034.8923890000003</v>
      </c>
      <c r="J73" s="11">
        <f>$F73*Daspalla_22!K73</f>
        <v>825.48151550000046</v>
      </c>
      <c r="K73" s="11">
        <f>$F73*Daspalla_22!L73</f>
        <v>580.81112450000046</v>
      </c>
      <c r="L73" s="11">
        <f>$F73*Daspalla_22!M73</f>
        <v>1788.5262499999999</v>
      </c>
      <c r="M73" s="11">
        <f>$F73*Daspalla_22!N73</f>
        <v>1788.5262499999999</v>
      </c>
      <c r="N73" s="11">
        <f>$F73*Daspalla_22!O73</f>
        <v>1788.5262499999999</v>
      </c>
      <c r="O73" s="11">
        <f>$F73*Daspalla_22!P73</f>
        <v>1788.5262499999999</v>
      </c>
      <c r="P73" s="11">
        <f>$F73*Daspalla_22!Q73</f>
        <v>1788.5262499999999</v>
      </c>
      <c r="Q73" s="11">
        <f>$F73*Daspalla_22!R73</f>
        <v>1657.6061285000001</v>
      </c>
      <c r="R73" s="11">
        <f>$F73*Daspalla_22!S73</f>
        <v>1541.4030230000003</v>
      </c>
      <c r="S73" s="8" t="s">
        <v>91</v>
      </c>
      <c r="T73" s="21">
        <v>407010304170202</v>
      </c>
    </row>
    <row r="74" spans="1:20" x14ac:dyDescent="0.25">
      <c r="A74" s="8">
        <v>71</v>
      </c>
      <c r="B74" s="8">
        <v>20.3172</v>
      </c>
      <c r="C74" s="8">
        <v>84.638099999999994</v>
      </c>
      <c r="D74" s="3" t="s">
        <v>7</v>
      </c>
      <c r="E74" s="19" t="s">
        <v>93</v>
      </c>
      <c r="F74" s="3">
        <v>3087.306</v>
      </c>
      <c r="G74" s="11">
        <f>$F74*Daspalla_22!H74</f>
        <v>4263.5695860000005</v>
      </c>
      <c r="H74" s="11">
        <f>$F74*Daspalla_22!I74</f>
        <v>3737.492643600001</v>
      </c>
      <c r="I74" s="11">
        <f>$F74*Daspalla_22!J74</f>
        <v>3126.206055600001</v>
      </c>
      <c r="J74" s="11">
        <f>$F74*Daspalla_22!K74</f>
        <v>2493.6170562000011</v>
      </c>
      <c r="K74" s="11">
        <f>$F74*Daspalla_22!L74</f>
        <v>1754.5159998000015</v>
      </c>
      <c r="L74" s="11">
        <f>$F74*Daspalla_22!M74</f>
        <v>5402.7855</v>
      </c>
      <c r="M74" s="11">
        <f>$F74*Daspalla_22!N74</f>
        <v>5402.7855</v>
      </c>
      <c r="N74" s="11">
        <f>$F74*Daspalla_22!O74</f>
        <v>5402.7855</v>
      </c>
      <c r="O74" s="11">
        <f>$F74*Daspalla_22!P74</f>
        <v>5402.7855</v>
      </c>
      <c r="P74" s="11">
        <f>$F74*Daspalla_22!Q74</f>
        <v>5402.7855</v>
      </c>
      <c r="Q74" s="11">
        <f>$F74*Daspalla_22!R74</f>
        <v>5007.3016014000004</v>
      </c>
      <c r="R74" s="11">
        <f>$F74*Daspalla_22!S74</f>
        <v>4656.2749092000004</v>
      </c>
      <c r="S74" s="8" t="s">
        <v>83</v>
      </c>
      <c r="T74" s="21">
        <v>407010304160102</v>
      </c>
    </row>
    <row r="75" spans="1:20" x14ac:dyDescent="0.25">
      <c r="A75" s="8">
        <v>72</v>
      </c>
      <c r="B75" s="8">
        <v>20.316600000000001</v>
      </c>
      <c r="C75" s="8">
        <v>84.638199999999998</v>
      </c>
      <c r="D75" s="3" t="s">
        <v>7</v>
      </c>
      <c r="E75" s="19" t="s">
        <v>93</v>
      </c>
      <c r="F75" s="3">
        <v>3789.1790000000001</v>
      </c>
      <c r="G75" s="11">
        <f>$F75*Daspalla_22!H75</f>
        <v>5232.8561990000007</v>
      </c>
      <c r="H75" s="11">
        <f>$F75*Daspalla_22!I75</f>
        <v>4587.1800974000016</v>
      </c>
      <c r="I75" s="11">
        <f>$F75*Daspalla_22!J75</f>
        <v>3836.9226554000015</v>
      </c>
      <c r="J75" s="11">
        <f>$F75*Daspalla_22!K75</f>
        <v>3060.5198783000014</v>
      </c>
      <c r="K75" s="11">
        <f>$F75*Daspalla_22!L75</f>
        <v>2153.3904257000017</v>
      </c>
      <c r="L75" s="11">
        <f>$F75*Daspalla_22!M75</f>
        <v>6631.0632500000002</v>
      </c>
      <c r="M75" s="11">
        <f>$F75*Daspalla_22!N75</f>
        <v>6631.0632500000002</v>
      </c>
      <c r="N75" s="11">
        <f>$F75*Daspalla_22!O75</f>
        <v>6631.0632500000002</v>
      </c>
      <c r="O75" s="11">
        <f>$F75*Daspalla_22!P75</f>
        <v>6631.0632500000002</v>
      </c>
      <c r="P75" s="11">
        <f>$F75*Daspalla_22!Q75</f>
        <v>6631.0632500000002</v>
      </c>
      <c r="Q75" s="11">
        <f>$F75*Daspalla_22!R75</f>
        <v>6145.6694201000009</v>
      </c>
      <c r="R75" s="11">
        <f>$F75*Daspalla_22!S75</f>
        <v>5714.839767800001</v>
      </c>
      <c r="S75" s="8" t="s">
        <v>83</v>
      </c>
      <c r="T75" s="21">
        <v>407010304160102</v>
      </c>
    </row>
    <row r="76" spans="1:20" x14ac:dyDescent="0.25">
      <c r="A76" s="8">
        <v>73</v>
      </c>
      <c r="B76" s="8">
        <v>20.3124</v>
      </c>
      <c r="C76" s="8">
        <v>84.633899999999997</v>
      </c>
      <c r="D76" s="3" t="s">
        <v>7</v>
      </c>
      <c r="E76" s="19" t="s">
        <v>93</v>
      </c>
      <c r="F76" s="3">
        <v>683.63300000000004</v>
      </c>
      <c r="G76" s="11">
        <f>$F76*Daspalla_22!H76</f>
        <v>944.09717300000023</v>
      </c>
      <c r="H76" s="11">
        <f>$F76*Daspalla_22!I76</f>
        <v>827.60610980000024</v>
      </c>
      <c r="I76" s="11">
        <f>$F76*Daspalla_22!J76</f>
        <v>692.24677580000025</v>
      </c>
      <c r="J76" s="11">
        <f>$F76*Daspalla_22!K76</f>
        <v>552.17037410000034</v>
      </c>
      <c r="K76" s="11">
        <f>$F76*Daspalla_22!L76</f>
        <v>388.50863390000035</v>
      </c>
      <c r="L76" s="11">
        <f>$F76*Daspalla_22!M76</f>
        <v>1196.3577500000001</v>
      </c>
      <c r="M76" s="11">
        <f>$F76*Daspalla_22!N76</f>
        <v>1196.3577500000001</v>
      </c>
      <c r="N76" s="11">
        <f>$F76*Daspalla_22!O76</f>
        <v>1196.3577500000001</v>
      </c>
      <c r="O76" s="11">
        <f>$F76*Daspalla_22!P76</f>
        <v>1196.3577500000001</v>
      </c>
      <c r="P76" s="11">
        <f>$F76*Daspalla_22!Q76</f>
        <v>1196.3577500000001</v>
      </c>
      <c r="Q76" s="11">
        <f>$F76*Daspalla_22!R76</f>
        <v>1108.7843627000002</v>
      </c>
      <c r="R76" s="11">
        <f>$F76*Daspalla_22!S76</f>
        <v>1031.0552906000003</v>
      </c>
      <c r="S76" s="8" t="s">
        <v>83</v>
      </c>
      <c r="T76" s="21">
        <v>407010304160102</v>
      </c>
    </row>
    <row r="77" spans="1:20" x14ac:dyDescent="0.25">
      <c r="A77" s="8">
        <v>74</v>
      </c>
      <c r="B77" s="8">
        <v>20.3203</v>
      </c>
      <c r="C77" s="8">
        <v>84.642200000000003</v>
      </c>
      <c r="D77" s="3" t="s">
        <v>7</v>
      </c>
      <c r="E77" s="19" t="s">
        <v>93</v>
      </c>
      <c r="F77" s="3">
        <v>395.22399999999999</v>
      </c>
      <c r="G77" s="11">
        <f>$F77*Daspalla_22!H77</f>
        <v>545.80434400000013</v>
      </c>
      <c r="H77" s="11">
        <f>$F77*Daspalla_22!I77</f>
        <v>478.45817440000013</v>
      </c>
      <c r="I77" s="11">
        <f>$F77*Daspalla_22!J77</f>
        <v>400.20382240000015</v>
      </c>
      <c r="J77" s="11">
        <f>$F77*Daspalla_22!K77</f>
        <v>319.22242480000017</v>
      </c>
      <c r="K77" s="11">
        <f>$F77*Daspalla_22!L77</f>
        <v>224.60579920000018</v>
      </c>
      <c r="L77" s="11">
        <f>$F77*Daspalla_22!M77</f>
        <v>691.64199999999994</v>
      </c>
      <c r="M77" s="11">
        <f>$F77*Daspalla_22!N77</f>
        <v>691.64199999999994</v>
      </c>
      <c r="N77" s="11">
        <f>$F77*Daspalla_22!O77</f>
        <v>691.64199999999994</v>
      </c>
      <c r="O77" s="11">
        <f>$F77*Daspalla_22!P77</f>
        <v>691.64199999999994</v>
      </c>
      <c r="P77" s="11">
        <f>$F77*Daspalla_22!Q77</f>
        <v>691.64199999999994</v>
      </c>
      <c r="Q77" s="11">
        <f>$F77*Daspalla_22!R77</f>
        <v>641.01380560000007</v>
      </c>
      <c r="R77" s="11">
        <f>$F77*Daspalla_22!S77</f>
        <v>596.07683680000002</v>
      </c>
      <c r="S77" s="8" t="s">
        <v>83</v>
      </c>
      <c r="T77" s="21">
        <v>407010304160102</v>
      </c>
    </row>
    <row r="78" spans="1:20" x14ac:dyDescent="0.25">
      <c r="A78" s="8">
        <v>75</v>
      </c>
      <c r="B78" s="8">
        <v>20.32</v>
      </c>
      <c r="C78" s="8">
        <v>84.642499999999998</v>
      </c>
      <c r="D78" s="3" t="s">
        <v>7</v>
      </c>
      <c r="E78" s="19" t="s">
        <v>93</v>
      </c>
      <c r="F78" s="3">
        <v>410.40199999999999</v>
      </c>
      <c r="G78" s="11">
        <f>$F78*Daspalla_22!H78</f>
        <v>566.76516200000003</v>
      </c>
      <c r="H78" s="11">
        <f>$F78*Daspalla_22!I78</f>
        <v>496.83266120000013</v>
      </c>
      <c r="I78" s="11">
        <f>$F78*Daspalla_22!J78</f>
        <v>415.57306520000014</v>
      </c>
      <c r="J78" s="11">
        <f>$F78*Daspalla_22!K78</f>
        <v>331.48169540000015</v>
      </c>
      <c r="K78" s="11">
        <f>$F78*Daspalla_22!L78</f>
        <v>233.23145660000017</v>
      </c>
      <c r="L78" s="11">
        <f>$F78*Daspalla_22!M78</f>
        <v>718.20349999999996</v>
      </c>
      <c r="M78" s="11">
        <f>$F78*Daspalla_22!N78</f>
        <v>718.20349999999996</v>
      </c>
      <c r="N78" s="11">
        <f>$F78*Daspalla_22!O78</f>
        <v>718.20349999999996</v>
      </c>
      <c r="O78" s="11">
        <f>$F78*Daspalla_22!P78</f>
        <v>718.20349999999996</v>
      </c>
      <c r="P78" s="11">
        <f>$F78*Daspalla_22!Q78</f>
        <v>718.20349999999996</v>
      </c>
      <c r="Q78" s="11">
        <f>$F78*Daspalla_22!R78</f>
        <v>665.63100380000003</v>
      </c>
      <c r="R78" s="11">
        <f>$F78*Daspalla_22!S78</f>
        <v>618.9682964000001</v>
      </c>
      <c r="S78" s="8" t="s">
        <v>83</v>
      </c>
      <c r="T78" s="21">
        <v>407010304160102</v>
      </c>
    </row>
    <row r="79" spans="1:20" x14ac:dyDescent="0.25">
      <c r="A79" s="8">
        <v>76</v>
      </c>
      <c r="B79" s="8">
        <v>20.337299999999999</v>
      </c>
      <c r="C79" s="8">
        <v>84.646199999999993</v>
      </c>
      <c r="D79" s="3" t="s">
        <v>7</v>
      </c>
      <c r="E79" s="19" t="s">
        <v>93</v>
      </c>
      <c r="F79" s="3">
        <v>130.62700000000001</v>
      </c>
      <c r="G79" s="11">
        <f>$F79*Daspalla_22!H79</f>
        <v>180.39588700000004</v>
      </c>
      <c r="H79" s="11">
        <f>$F79*Daspalla_22!I79</f>
        <v>158.13704620000004</v>
      </c>
      <c r="I79" s="11">
        <f>$F79*Daspalla_22!J79</f>
        <v>132.27290020000007</v>
      </c>
      <c r="J79" s="11">
        <f>$F79*Daspalla_22!K79</f>
        <v>105.50742790000007</v>
      </c>
      <c r="K79" s="11">
        <f>$F79*Daspalla_22!L79</f>
        <v>74.235324100000071</v>
      </c>
      <c r="L79" s="11">
        <f>$F79*Daspalla_22!M79</f>
        <v>228.59725000000003</v>
      </c>
      <c r="M79" s="11">
        <f>$F79*Daspalla_22!N79</f>
        <v>228.59725000000003</v>
      </c>
      <c r="N79" s="11">
        <f>$F79*Daspalla_22!O79</f>
        <v>228.59725000000003</v>
      </c>
      <c r="O79" s="11">
        <f>$F79*Daspalla_22!P79</f>
        <v>228.59725000000003</v>
      </c>
      <c r="P79" s="11">
        <f>$F79*Daspalla_22!Q79</f>
        <v>228.59725000000003</v>
      </c>
      <c r="Q79" s="11">
        <f>$F79*Daspalla_22!R79</f>
        <v>211.86393130000002</v>
      </c>
      <c r="R79" s="11">
        <f>$F79*Daspalla_22!S79</f>
        <v>197.01164140000003</v>
      </c>
      <c r="S79" s="8" t="s">
        <v>81</v>
      </c>
      <c r="T79" s="21">
        <v>407010304160201</v>
      </c>
    </row>
    <row r="80" spans="1:20" x14ac:dyDescent="0.25">
      <c r="A80" s="8">
        <v>77</v>
      </c>
      <c r="B80" s="8">
        <v>20.3368</v>
      </c>
      <c r="C80" s="8">
        <v>84.645600000000002</v>
      </c>
      <c r="D80" s="3" t="s">
        <v>7</v>
      </c>
      <c r="E80" s="19" t="s">
        <v>93</v>
      </c>
      <c r="F80" s="3">
        <v>123.34699999999999</v>
      </c>
      <c r="G80" s="11">
        <f>$F80*Daspalla_22!H80</f>
        <v>170.34220700000003</v>
      </c>
      <c r="H80" s="11">
        <f>$F80*Daspalla_22!I80</f>
        <v>149.32387820000002</v>
      </c>
      <c r="I80" s="11">
        <f>$F80*Daspalla_22!J80</f>
        <v>124.90117220000005</v>
      </c>
      <c r="J80" s="11">
        <f>$F80*Daspalla_22!K80</f>
        <v>99.627371900000043</v>
      </c>
      <c r="K80" s="11">
        <f>$F80*Daspalla_22!L80</f>
        <v>70.098100100000053</v>
      </c>
      <c r="L80" s="11">
        <f>$F80*Daspalla_22!M80</f>
        <v>215.85724999999999</v>
      </c>
      <c r="M80" s="11">
        <f>$F80*Daspalla_22!N80</f>
        <v>215.85724999999999</v>
      </c>
      <c r="N80" s="11">
        <f>$F80*Daspalla_22!O80</f>
        <v>215.85724999999999</v>
      </c>
      <c r="O80" s="11">
        <f>$F80*Daspalla_22!P80</f>
        <v>215.85724999999999</v>
      </c>
      <c r="P80" s="11">
        <f>$F80*Daspalla_22!Q80</f>
        <v>215.85724999999999</v>
      </c>
      <c r="Q80" s="11">
        <f>$F80*Daspalla_22!R80</f>
        <v>200.05649930000001</v>
      </c>
      <c r="R80" s="11">
        <f>$F80*Daspalla_22!S80</f>
        <v>186.03194540000001</v>
      </c>
      <c r="S80" s="8" t="s">
        <v>81</v>
      </c>
      <c r="T80" s="21">
        <v>407010304160201</v>
      </c>
    </row>
    <row r="81" spans="1:20" x14ac:dyDescent="0.25">
      <c r="A81" s="8">
        <v>78</v>
      </c>
      <c r="B81" s="8">
        <v>20.3368</v>
      </c>
      <c r="C81" s="8">
        <v>84.645200000000003</v>
      </c>
      <c r="D81" s="3" t="s">
        <v>7</v>
      </c>
      <c r="E81" s="19" t="s">
        <v>93</v>
      </c>
      <c r="F81" s="3">
        <v>228.95699999999999</v>
      </c>
      <c r="G81" s="11">
        <f>$F81*Daspalla_22!H81</f>
        <v>316.18961700000006</v>
      </c>
      <c r="H81" s="11">
        <f>$F81*Daspalla_22!I81</f>
        <v>277.1753442000001</v>
      </c>
      <c r="I81" s="11">
        <f>$F81*Daspalla_22!J81</f>
        <v>231.84185820000008</v>
      </c>
      <c r="J81" s="11">
        <f>$F81*Daspalla_22!K81</f>
        <v>184.9285689000001</v>
      </c>
      <c r="K81" s="11">
        <f>$F81*Daspalla_22!L81</f>
        <v>130.11626310000011</v>
      </c>
      <c r="L81" s="11">
        <f>$F81*Daspalla_22!M81</f>
        <v>400.67475000000002</v>
      </c>
      <c r="M81" s="11">
        <f>$F81*Daspalla_22!N81</f>
        <v>400.67475000000002</v>
      </c>
      <c r="N81" s="11">
        <f>$F81*Daspalla_22!O81</f>
        <v>400.67475000000002</v>
      </c>
      <c r="O81" s="11">
        <f>$F81*Daspalla_22!P81</f>
        <v>400.67475000000002</v>
      </c>
      <c r="P81" s="11">
        <f>$F81*Daspalla_22!Q81</f>
        <v>400.67475000000002</v>
      </c>
      <c r="Q81" s="11">
        <f>$F81*Daspalla_22!R81</f>
        <v>371.34535830000004</v>
      </c>
      <c r="R81" s="11">
        <f>$F81*Daspalla_22!S81</f>
        <v>345.31294740000004</v>
      </c>
      <c r="S81" s="8" t="s">
        <v>81</v>
      </c>
      <c r="T81" s="21">
        <v>407010304160201</v>
      </c>
    </row>
    <row r="82" spans="1:20" x14ac:dyDescent="0.25">
      <c r="A82" s="8">
        <v>79</v>
      </c>
      <c r="B82" s="8">
        <v>20.339600000000001</v>
      </c>
      <c r="C82" s="8">
        <v>84.634</v>
      </c>
      <c r="D82" s="3" t="s">
        <v>7</v>
      </c>
      <c r="E82" s="19" t="s">
        <v>93</v>
      </c>
      <c r="F82" s="3">
        <v>1194.037</v>
      </c>
      <c r="G82" s="11">
        <f>$F82*Daspalla_22!H82</f>
        <v>2843.002097</v>
      </c>
      <c r="H82" s="11">
        <f>$F82*Daspalla_22!I82</f>
        <v>2639.5381922000001</v>
      </c>
      <c r="I82" s="11">
        <f>$F82*Daspalla_22!J82</f>
        <v>2403.1188662</v>
      </c>
      <c r="J82" s="11">
        <f>$F82*Daspalla_22!K82</f>
        <v>2158.4606848999997</v>
      </c>
      <c r="K82" s="11">
        <f>$F82*Daspalla_22!L82</f>
        <v>1872.6082270999998</v>
      </c>
      <c r="L82" s="11">
        <f>$F82*Daspalla_22!M82</f>
        <v>3283.6017500000003</v>
      </c>
      <c r="M82" s="11">
        <f>$F82*Daspalla_22!N82</f>
        <v>3283.6017500000003</v>
      </c>
      <c r="N82" s="11">
        <f>$F82*Daspalla_22!O82</f>
        <v>3283.6017500000003</v>
      </c>
      <c r="O82" s="11">
        <f>$F82*Daspalla_22!P82</f>
        <v>3283.6017500000003</v>
      </c>
      <c r="P82" s="11">
        <f>$F82*Daspalla_22!Q82</f>
        <v>3283.6017500000003</v>
      </c>
      <c r="Q82" s="11">
        <f>$F82*Daspalla_22!R82</f>
        <v>3130.6456103</v>
      </c>
      <c r="R82" s="11">
        <f>$F82*Daspalla_22!S82</f>
        <v>2994.8836034000001</v>
      </c>
      <c r="S82" s="8" t="s">
        <v>81</v>
      </c>
      <c r="T82" s="21">
        <v>407010304160201</v>
      </c>
    </row>
    <row r="83" spans="1:20" x14ac:dyDescent="0.25">
      <c r="A83" s="8">
        <v>80</v>
      </c>
      <c r="B83" s="8">
        <v>20.331099999999999</v>
      </c>
      <c r="C83" s="8">
        <v>84.620999999999995</v>
      </c>
      <c r="D83" s="3" t="s">
        <v>7</v>
      </c>
      <c r="E83" s="19" t="s">
        <v>93</v>
      </c>
      <c r="F83" s="3">
        <v>499.5</v>
      </c>
      <c r="G83" s="11">
        <f>$F83*Daspalla_22!H83</f>
        <v>689.80950000000007</v>
      </c>
      <c r="H83" s="11">
        <f>$F83*Daspalla_22!I83</f>
        <v>604.69470000000013</v>
      </c>
      <c r="I83" s="11">
        <f>$F83*Daspalla_22!J83</f>
        <v>505.79370000000017</v>
      </c>
      <c r="J83" s="11">
        <f>$F83*Daspalla_22!K83</f>
        <v>403.44615000000022</v>
      </c>
      <c r="K83" s="11">
        <f>$F83*Daspalla_22!L83</f>
        <v>283.86585000000025</v>
      </c>
      <c r="L83" s="11">
        <f>$F83*Daspalla_22!M83</f>
        <v>874.125</v>
      </c>
      <c r="M83" s="11">
        <f>$F83*Daspalla_22!N83</f>
        <v>874.125</v>
      </c>
      <c r="N83" s="11">
        <f>$F83*Daspalla_22!O83</f>
        <v>874.125</v>
      </c>
      <c r="O83" s="11">
        <f>$F83*Daspalla_22!P83</f>
        <v>874.125</v>
      </c>
      <c r="P83" s="11">
        <f>$F83*Daspalla_22!Q83</f>
        <v>874.125</v>
      </c>
      <c r="Q83" s="11">
        <f>$F83*Daspalla_22!R83</f>
        <v>810.13905000000011</v>
      </c>
      <c r="R83" s="11">
        <f>$F83*Daspalla_22!S83</f>
        <v>753.34590000000014</v>
      </c>
      <c r="S83" s="8" t="s">
        <v>81</v>
      </c>
      <c r="T83" s="21">
        <v>407010304160201</v>
      </c>
    </row>
    <row r="84" spans="1:20" x14ac:dyDescent="0.25">
      <c r="A84" s="8">
        <v>81</v>
      </c>
      <c r="B84" s="8">
        <v>20.332999999999998</v>
      </c>
      <c r="C84" s="8">
        <v>84.612899999999996</v>
      </c>
      <c r="D84" s="3" t="s">
        <v>7</v>
      </c>
      <c r="E84" s="19" t="s">
        <v>93</v>
      </c>
      <c r="F84" s="3">
        <v>626.18700000000001</v>
      </c>
      <c r="G84" s="11">
        <f>$F84*Daspalla_22!H84</f>
        <v>864.76424700000018</v>
      </c>
      <c r="H84" s="11">
        <f>$F84*Daspalla_22!I84</f>
        <v>758.06198220000022</v>
      </c>
      <c r="I84" s="11">
        <f>$F84*Daspalla_22!J84</f>
        <v>634.07695620000027</v>
      </c>
      <c r="J84" s="11">
        <f>$F84*Daspalla_22!K84</f>
        <v>505.7712399000003</v>
      </c>
      <c r="K84" s="11">
        <f>$F84*Daspalla_22!L84</f>
        <v>355.86207210000032</v>
      </c>
      <c r="L84" s="11">
        <f>$F84*Daspalla_22!M84</f>
        <v>1095.82725</v>
      </c>
      <c r="M84" s="11">
        <f>$F84*Daspalla_22!N84</f>
        <v>1095.82725</v>
      </c>
      <c r="N84" s="11">
        <f>$F84*Daspalla_22!O84</f>
        <v>1095.82725</v>
      </c>
      <c r="O84" s="11">
        <f>$F84*Daspalla_22!P84</f>
        <v>1095.82725</v>
      </c>
      <c r="P84" s="11">
        <f>$F84*Daspalla_22!Q84</f>
        <v>1095.82725</v>
      </c>
      <c r="Q84" s="11">
        <f>$F84*Daspalla_22!R84</f>
        <v>1015.6126953</v>
      </c>
      <c r="R84" s="11">
        <f>$F84*Daspalla_22!S84</f>
        <v>944.41523340000015</v>
      </c>
      <c r="S84" s="8" t="s">
        <v>81</v>
      </c>
      <c r="T84" s="21">
        <v>407010304160201</v>
      </c>
    </row>
    <row r="85" spans="1:20" x14ac:dyDescent="0.25">
      <c r="A85" s="8">
        <v>82</v>
      </c>
      <c r="B85" s="8">
        <v>20.323599999999999</v>
      </c>
      <c r="C85" s="8">
        <v>84.608800000000002</v>
      </c>
      <c r="D85" s="3" t="s">
        <v>7</v>
      </c>
      <c r="E85" s="19" t="s">
        <v>93</v>
      </c>
      <c r="F85" s="3">
        <v>594.697</v>
      </c>
      <c r="G85" s="11">
        <f>$F85*Daspalla_22!H85</f>
        <v>1415.9735569999998</v>
      </c>
      <c r="H85" s="11">
        <f>$F85*Daspalla_22!I85</f>
        <v>1314.6371881999999</v>
      </c>
      <c r="I85" s="11">
        <f>$F85*Daspalla_22!J85</f>
        <v>1196.8871821999999</v>
      </c>
      <c r="J85" s="11">
        <f>$F85*Daspalla_22!K85</f>
        <v>1075.0337668999998</v>
      </c>
      <c r="K85" s="11">
        <f>$F85*Daspalla_22!L85</f>
        <v>932.66330509999989</v>
      </c>
      <c r="L85" s="11">
        <f>$F85*Daspalla_22!M85</f>
        <v>1635.4167500000001</v>
      </c>
      <c r="M85" s="11">
        <f>$F85*Daspalla_22!N85</f>
        <v>1635.4167500000001</v>
      </c>
      <c r="N85" s="11">
        <f>$F85*Daspalla_22!O85</f>
        <v>1635.4167500000001</v>
      </c>
      <c r="O85" s="11">
        <f>$F85*Daspalla_22!P85</f>
        <v>1635.4167500000001</v>
      </c>
      <c r="P85" s="11">
        <f>$F85*Daspalla_22!Q85</f>
        <v>1635.4167500000001</v>
      </c>
      <c r="Q85" s="11">
        <f>$F85*Daspalla_22!R85</f>
        <v>1559.2360643000002</v>
      </c>
      <c r="R85" s="11">
        <f>$F85*Daspalla_22!S85</f>
        <v>1491.6190154000001</v>
      </c>
      <c r="S85" s="8" t="s">
        <v>81</v>
      </c>
      <c r="T85" s="21">
        <v>407010304160201</v>
      </c>
    </row>
    <row r="86" spans="1:20" x14ac:dyDescent="0.25">
      <c r="A86" s="8">
        <v>83</v>
      </c>
      <c r="B86" s="8">
        <v>20.322600000000001</v>
      </c>
      <c r="C86" s="8">
        <v>84.604399999999998</v>
      </c>
      <c r="D86" s="3" t="s">
        <v>7</v>
      </c>
      <c r="E86" s="19" t="s">
        <v>93</v>
      </c>
      <c r="F86" s="3">
        <v>494.19299999999998</v>
      </c>
      <c r="G86" s="11">
        <f>$F86*Daspalla_22!H86</f>
        <v>1176.6735329999999</v>
      </c>
      <c r="H86" s="11">
        <f>$F86*Daspalla_22!I86</f>
        <v>1092.4630457999999</v>
      </c>
      <c r="I86" s="11">
        <f>$F86*Daspalla_22!J86</f>
        <v>994.61283179999998</v>
      </c>
      <c r="J86" s="11">
        <f>$F86*Daspalla_22!K86</f>
        <v>893.35268609999991</v>
      </c>
      <c r="K86" s="11">
        <f>$F86*Daspalla_22!L86</f>
        <v>775.04288189999988</v>
      </c>
      <c r="L86" s="11">
        <f>$F86*Daspalla_22!M86</f>
        <v>1359.0307499999999</v>
      </c>
      <c r="M86" s="11">
        <f>$F86*Daspalla_22!N86</f>
        <v>1359.0307499999999</v>
      </c>
      <c r="N86" s="11">
        <f>$F86*Daspalla_22!O86</f>
        <v>1359.0307499999999</v>
      </c>
      <c r="O86" s="11">
        <f>$F86*Daspalla_22!P86</f>
        <v>1359.0307499999999</v>
      </c>
      <c r="P86" s="11">
        <f>$F86*Daspalla_22!Q86</f>
        <v>1359.0307499999999</v>
      </c>
      <c r="Q86" s="11">
        <f>$F86*Daspalla_22!R86</f>
        <v>1295.7246267</v>
      </c>
      <c r="R86" s="11">
        <f>$F86*Daspalla_22!S86</f>
        <v>1239.5348825999999</v>
      </c>
      <c r="S86" s="8" t="s">
        <v>81</v>
      </c>
      <c r="T86" s="21">
        <v>407010304160201</v>
      </c>
    </row>
    <row r="87" spans="1:20" x14ac:dyDescent="0.25">
      <c r="A87" s="8">
        <v>84</v>
      </c>
      <c r="B87" s="8">
        <v>20.312000000000001</v>
      </c>
      <c r="C87" s="8">
        <v>84.654499999999999</v>
      </c>
      <c r="D87" s="3" t="s">
        <v>7</v>
      </c>
      <c r="E87" s="19" t="s">
        <v>93</v>
      </c>
      <c r="F87" s="3">
        <v>2656.39</v>
      </c>
      <c r="G87" s="11">
        <f>$F87*Daspalla_22!H87</f>
        <v>8981.2545899999986</v>
      </c>
      <c r="H87" s="11">
        <f>$F87*Daspalla_22!I87</f>
        <v>8528.6057339999988</v>
      </c>
      <c r="I87" s="11">
        <f>$F87*Daspalla_22!J87</f>
        <v>8002.6405139999997</v>
      </c>
      <c r="J87" s="11">
        <f>$F87*Daspalla_22!K87</f>
        <v>7458.3462030000001</v>
      </c>
      <c r="K87" s="11">
        <f>$F87*Daspalla_22!L87</f>
        <v>6822.4064370000006</v>
      </c>
      <c r="L87" s="11">
        <f>$F87*Daspalla_22!M87</f>
        <v>9961.4624999999996</v>
      </c>
      <c r="M87" s="11">
        <f>$F87*Daspalla_22!N87</f>
        <v>9961.4624999999996</v>
      </c>
      <c r="N87" s="11">
        <f>$F87*Daspalla_22!O87</f>
        <v>9961.4624999999996</v>
      </c>
      <c r="O87" s="11">
        <f>$F87*Daspalla_22!P87</f>
        <v>9961.4624999999996</v>
      </c>
      <c r="P87" s="11">
        <f>$F87*Daspalla_22!Q87</f>
        <v>9961.4624999999996</v>
      </c>
      <c r="Q87" s="11">
        <f>$F87*Daspalla_22!R87</f>
        <v>9621.1789410000001</v>
      </c>
      <c r="R87" s="11">
        <f>$F87*Daspalla_22!S87</f>
        <v>9319.1473979999992</v>
      </c>
      <c r="S87" s="8" t="s">
        <v>91</v>
      </c>
      <c r="T87" s="21">
        <v>407010304170202</v>
      </c>
    </row>
    <row r="88" spans="1:20" x14ac:dyDescent="0.25">
      <c r="A88" s="8">
        <v>85</v>
      </c>
      <c r="B88" s="8">
        <v>20.314800000000002</v>
      </c>
      <c r="C88" s="8">
        <v>84.656800000000004</v>
      </c>
      <c r="D88" s="3" t="s">
        <v>7</v>
      </c>
      <c r="E88" s="19" t="s">
        <v>93</v>
      </c>
      <c r="F88" s="3">
        <v>2304.8789999999999</v>
      </c>
      <c r="G88" s="11">
        <f>$F88*Daspalla_22!H88</f>
        <v>7792.7958989999988</v>
      </c>
      <c r="H88" s="11">
        <f>$F88*Daspalla_22!I88</f>
        <v>7400.0445173999997</v>
      </c>
      <c r="I88" s="11">
        <f>$F88*Daspalla_22!J88</f>
        <v>6943.6784754</v>
      </c>
      <c r="J88" s="11">
        <f>$F88*Daspalla_22!K88</f>
        <v>6471.4087682999998</v>
      </c>
      <c r="K88" s="11">
        <f>$F88*Daspalla_22!L88</f>
        <v>5919.6207357000003</v>
      </c>
      <c r="L88" s="11">
        <f>$F88*Daspalla_22!M88</f>
        <v>8643.2962499999994</v>
      </c>
      <c r="M88" s="11">
        <f>$F88*Daspalla_22!N88</f>
        <v>8643.2962499999994</v>
      </c>
      <c r="N88" s="11">
        <f>$F88*Daspalla_22!O88</f>
        <v>8643.2962499999994</v>
      </c>
      <c r="O88" s="11">
        <f>$F88*Daspalla_22!P88</f>
        <v>8643.2962499999994</v>
      </c>
      <c r="P88" s="11">
        <f>$F88*Daspalla_22!Q88</f>
        <v>8643.2962499999994</v>
      </c>
      <c r="Q88" s="11">
        <f>$F88*Daspalla_22!R88</f>
        <v>8348.0412500999992</v>
      </c>
      <c r="R88" s="11">
        <f>$F88*Daspalla_22!S88</f>
        <v>8085.9765078</v>
      </c>
      <c r="S88" s="8" t="s">
        <v>91</v>
      </c>
      <c r="T88" s="21">
        <v>407010304170202</v>
      </c>
    </row>
    <row r="89" spans="1:20" x14ac:dyDescent="0.25">
      <c r="A89" s="8">
        <v>86</v>
      </c>
      <c r="B89" s="8">
        <v>20.319400000000002</v>
      </c>
      <c r="C89" s="8">
        <v>84.658500000000004</v>
      </c>
      <c r="D89" s="3" t="s">
        <v>7</v>
      </c>
      <c r="E89" s="19" t="s">
        <v>93</v>
      </c>
      <c r="F89" s="3">
        <v>1020.664</v>
      </c>
      <c r="G89" s="11">
        <f>$F89*Daspalla_22!H89</f>
        <v>1409.5369840000003</v>
      </c>
      <c r="H89" s="11">
        <f>$F89*Daspalla_22!I89</f>
        <v>1235.6158384000003</v>
      </c>
      <c r="I89" s="11">
        <f>$F89*Daspalla_22!J89</f>
        <v>1033.5243664000004</v>
      </c>
      <c r="J89" s="11">
        <f>$F89*Daspalla_22!K89</f>
        <v>824.3903128000004</v>
      </c>
      <c r="K89" s="11">
        <f>$F89*Daspalla_22!L89</f>
        <v>580.04335120000053</v>
      </c>
      <c r="L89" s="11">
        <f>$F89*Daspalla_22!M89</f>
        <v>1786.162</v>
      </c>
      <c r="M89" s="11">
        <f>$F89*Daspalla_22!N89</f>
        <v>1786.162</v>
      </c>
      <c r="N89" s="11">
        <f>$F89*Daspalla_22!O89</f>
        <v>1786.162</v>
      </c>
      <c r="O89" s="11">
        <f>$F89*Daspalla_22!P89</f>
        <v>1786.162</v>
      </c>
      <c r="P89" s="11">
        <f>$F89*Daspalla_22!Q89</f>
        <v>1786.162</v>
      </c>
      <c r="Q89" s="11">
        <f>$F89*Daspalla_22!R89</f>
        <v>1655.4149416</v>
      </c>
      <c r="R89" s="11">
        <f>$F89*Daspalla_22!S89</f>
        <v>1539.3654448000002</v>
      </c>
      <c r="S89" s="8" t="s">
        <v>91</v>
      </c>
      <c r="T89" s="21">
        <v>407010304170202</v>
      </c>
    </row>
    <row r="90" spans="1:20" x14ac:dyDescent="0.25">
      <c r="A90" s="8">
        <v>87</v>
      </c>
      <c r="B90" s="8">
        <v>20.319099999999999</v>
      </c>
      <c r="C90" s="8">
        <v>84.657899999999998</v>
      </c>
      <c r="D90" s="3" t="s">
        <v>7</v>
      </c>
      <c r="E90" s="19" t="s">
        <v>93</v>
      </c>
      <c r="F90" s="3">
        <v>622.09400000000005</v>
      </c>
      <c r="G90" s="11">
        <f>$F90*Daspalla_22!H90</f>
        <v>859.11181400000021</v>
      </c>
      <c r="H90" s="11">
        <f>$F90*Daspalla_22!I90</f>
        <v>753.1069964000003</v>
      </c>
      <c r="I90" s="11">
        <f>$F90*Daspalla_22!J90</f>
        <v>629.93238440000027</v>
      </c>
      <c r="J90" s="11">
        <f>$F90*Daspalla_22!K90</f>
        <v>502.46532380000031</v>
      </c>
      <c r="K90" s="11">
        <f>$F90*Daspalla_22!L90</f>
        <v>353.53602020000034</v>
      </c>
      <c r="L90" s="11">
        <f>$F90*Daspalla_22!M90</f>
        <v>1088.6645000000001</v>
      </c>
      <c r="M90" s="11">
        <f>$F90*Daspalla_22!N90</f>
        <v>1088.6645000000001</v>
      </c>
      <c r="N90" s="11">
        <f>$F90*Daspalla_22!O90</f>
        <v>1088.6645000000001</v>
      </c>
      <c r="O90" s="11">
        <f>$F90*Daspalla_22!P90</f>
        <v>1088.6645000000001</v>
      </c>
      <c r="P90" s="11">
        <f>$F90*Daspalla_22!Q90</f>
        <v>1088.6645000000001</v>
      </c>
      <c r="Q90" s="11">
        <f>$F90*Daspalla_22!R90</f>
        <v>1008.9742586000002</v>
      </c>
      <c r="R90" s="11">
        <f>$F90*Daspalla_22!S90</f>
        <v>938.24217080000017</v>
      </c>
      <c r="S90" s="8" t="s">
        <v>91</v>
      </c>
      <c r="T90" s="21">
        <v>407010304170202</v>
      </c>
    </row>
    <row r="91" spans="1:20" x14ac:dyDescent="0.25">
      <c r="A91" s="8">
        <v>88</v>
      </c>
      <c r="B91" s="8">
        <v>20.315000000000001</v>
      </c>
      <c r="C91" s="8">
        <v>84.658500000000004</v>
      </c>
      <c r="D91" s="3" t="s">
        <v>7</v>
      </c>
      <c r="E91" s="19" t="s">
        <v>93</v>
      </c>
      <c r="F91" s="3">
        <v>600.35</v>
      </c>
      <c r="G91" s="11">
        <f>$F91*Daspalla_22!H91</f>
        <v>1429.43335</v>
      </c>
      <c r="H91" s="11">
        <f>$F91*Daspalla_22!I91</f>
        <v>1327.1337100000001</v>
      </c>
      <c r="I91" s="11">
        <f>$F91*Daspalla_22!J91</f>
        <v>1208.26441</v>
      </c>
      <c r="J91" s="11">
        <f>$F91*Daspalla_22!K91</f>
        <v>1085.2526949999999</v>
      </c>
      <c r="K91" s="11">
        <f>$F91*Daspalla_22!L91</f>
        <v>941.5289049999999</v>
      </c>
      <c r="L91" s="11">
        <f>$F91*Daspalla_22!M91</f>
        <v>1650.9625000000001</v>
      </c>
      <c r="M91" s="11">
        <f>$F91*Daspalla_22!N91</f>
        <v>1650.9625000000001</v>
      </c>
      <c r="N91" s="11">
        <f>$F91*Daspalla_22!O91</f>
        <v>1650.9625000000001</v>
      </c>
      <c r="O91" s="11">
        <f>$F91*Daspalla_22!P91</f>
        <v>1650.9625000000001</v>
      </c>
      <c r="P91" s="11">
        <f>$F91*Daspalla_22!Q91</f>
        <v>1650.9625000000001</v>
      </c>
      <c r="Q91" s="11">
        <f>$F91*Daspalla_22!R91</f>
        <v>1574.057665</v>
      </c>
      <c r="R91" s="11">
        <f>$F91*Daspalla_22!S91</f>
        <v>1505.7978700000001</v>
      </c>
      <c r="S91" s="8" t="s">
        <v>91</v>
      </c>
      <c r="T91" s="21">
        <v>407010304170202</v>
      </c>
    </row>
    <row r="92" spans="1:20" x14ac:dyDescent="0.25">
      <c r="A92" s="8">
        <v>89</v>
      </c>
      <c r="B92" s="8">
        <v>20.323399999999999</v>
      </c>
      <c r="C92" s="8">
        <v>84.659899999999993</v>
      </c>
      <c r="D92" s="3" t="s">
        <v>7</v>
      </c>
      <c r="E92" s="19" t="s">
        <v>93</v>
      </c>
      <c r="F92" s="3">
        <v>1934.809</v>
      </c>
      <c r="G92" s="11">
        <f>$F92*Daspalla_22!H92</f>
        <v>4606.7802289999991</v>
      </c>
      <c r="H92" s="11">
        <f>$F92*Daspalla_22!I92</f>
        <v>4277.0887753999996</v>
      </c>
      <c r="I92" s="11">
        <f>$F92*Daspalla_22!J92</f>
        <v>3893.9965933999997</v>
      </c>
      <c r="J92" s="11">
        <f>$F92*Daspalla_22!K92</f>
        <v>3497.5542292999999</v>
      </c>
      <c r="K92" s="11">
        <f>$F92*Daspalla_22!L92</f>
        <v>3034.3609546999996</v>
      </c>
      <c r="L92" s="11">
        <f>$F92*Daspalla_22!M92</f>
        <v>5320.7247500000003</v>
      </c>
      <c r="M92" s="11">
        <f>$F92*Daspalla_22!N92</f>
        <v>5320.7247500000003</v>
      </c>
      <c r="N92" s="11">
        <f>$F92*Daspalla_22!O92</f>
        <v>5320.7247500000003</v>
      </c>
      <c r="O92" s="11">
        <f>$F92*Daspalla_22!P92</f>
        <v>5320.7247500000003</v>
      </c>
      <c r="P92" s="11">
        <f>$F92*Daspalla_22!Q92</f>
        <v>5320.7247500000003</v>
      </c>
      <c r="Q92" s="11">
        <f>$F92*Daspalla_22!R92</f>
        <v>5072.8757170999997</v>
      </c>
      <c r="R92" s="11">
        <f>$F92*Daspalla_22!S92</f>
        <v>4852.8879337999997</v>
      </c>
      <c r="S92" s="8" t="s">
        <v>91</v>
      </c>
      <c r="T92" s="21">
        <v>407010304170202</v>
      </c>
    </row>
    <row r="93" spans="1:20" x14ac:dyDescent="0.25">
      <c r="A93" s="8">
        <v>90</v>
      </c>
      <c r="B93" s="8">
        <v>20.3247</v>
      </c>
      <c r="C93" s="8">
        <v>84.659199999999998</v>
      </c>
      <c r="D93" s="3" t="s">
        <v>7</v>
      </c>
      <c r="E93" s="19" t="s">
        <v>93</v>
      </c>
      <c r="F93" s="3">
        <v>794.23699999999997</v>
      </c>
      <c r="G93" s="11">
        <f>$F93*Daspalla_22!H93</f>
        <v>1891.0782969999998</v>
      </c>
      <c r="H93" s="11">
        <f>$F93*Daspalla_22!I93</f>
        <v>1755.7403121999998</v>
      </c>
      <c r="I93" s="11">
        <f>$F93*Daspalla_22!J93</f>
        <v>1598.4813861999999</v>
      </c>
      <c r="J93" s="11">
        <f>$F93*Daspalla_22!K93</f>
        <v>1435.7422248999999</v>
      </c>
      <c r="K93" s="11">
        <f>$F93*Daspalla_22!L93</f>
        <v>1245.6018870999999</v>
      </c>
      <c r="L93" s="11">
        <f>$F93*Daspalla_22!M93</f>
        <v>2184.15175</v>
      </c>
      <c r="M93" s="11">
        <f>$F93*Daspalla_22!N93</f>
        <v>2184.15175</v>
      </c>
      <c r="N93" s="11">
        <f>$F93*Daspalla_22!O93</f>
        <v>2184.15175</v>
      </c>
      <c r="O93" s="11">
        <f>$F93*Daspalla_22!P93</f>
        <v>2184.15175</v>
      </c>
      <c r="P93" s="11">
        <f>$F93*Daspalla_22!Q93</f>
        <v>2184.15175</v>
      </c>
      <c r="Q93" s="11">
        <f>$F93*Daspalla_22!R93</f>
        <v>2082.4099903000001</v>
      </c>
      <c r="R93" s="11">
        <f>$F93*Daspalla_22!S93</f>
        <v>1992.1052433999998</v>
      </c>
      <c r="S93" s="8" t="s">
        <v>91</v>
      </c>
      <c r="T93" s="21">
        <v>407010304170202</v>
      </c>
    </row>
    <row r="94" spans="1:20" x14ac:dyDescent="0.25">
      <c r="A94" s="8">
        <v>91</v>
      </c>
      <c r="B94" s="8">
        <v>20.3245</v>
      </c>
      <c r="C94" s="8">
        <v>84.6631</v>
      </c>
      <c r="D94" s="3" t="s">
        <v>7</v>
      </c>
      <c r="E94" s="19" t="s">
        <v>93</v>
      </c>
      <c r="F94" s="3">
        <v>2169.5700000000002</v>
      </c>
      <c r="G94" s="11">
        <f>$F94*Daspalla_22!H94</f>
        <v>5165.7461700000003</v>
      </c>
      <c r="H94" s="11">
        <f>$F94*Daspalla_22!I94</f>
        <v>4796.051442</v>
      </c>
      <c r="I94" s="11">
        <f>$F94*Daspalla_22!J94</f>
        <v>4366.4765820000002</v>
      </c>
      <c r="J94" s="11">
        <f>$F94*Daspalla_22!K94</f>
        <v>3921.931689</v>
      </c>
      <c r="K94" s="11">
        <f>$F94*Daspalla_22!L94</f>
        <v>3402.5366309999999</v>
      </c>
      <c r="L94" s="11">
        <f>$F94*Daspalla_22!M94</f>
        <v>5966.3175000000001</v>
      </c>
      <c r="M94" s="11">
        <f>$F94*Daspalla_22!N94</f>
        <v>5966.3175000000001</v>
      </c>
      <c r="N94" s="11">
        <f>$F94*Daspalla_22!O94</f>
        <v>5966.3175000000001</v>
      </c>
      <c r="O94" s="11">
        <f>$F94*Daspalla_22!P94</f>
        <v>5966.3175000000001</v>
      </c>
      <c r="P94" s="11">
        <f>$F94*Daspalla_22!Q94</f>
        <v>5966.3175000000001</v>
      </c>
      <c r="Q94" s="11">
        <f>$F94*Daspalla_22!R94</f>
        <v>5688.3955830000004</v>
      </c>
      <c r="R94" s="11">
        <f>$F94*Daspalla_22!S94</f>
        <v>5441.7154740000005</v>
      </c>
      <c r="S94" s="8" t="s">
        <v>91</v>
      </c>
      <c r="T94" s="21">
        <v>407010304170202</v>
      </c>
    </row>
    <row r="95" spans="1:20" x14ac:dyDescent="0.25">
      <c r="A95" s="8">
        <v>92</v>
      </c>
      <c r="B95" s="8">
        <v>20.319500000000001</v>
      </c>
      <c r="C95" s="8">
        <v>84.662800000000004</v>
      </c>
      <c r="D95" s="3" t="s">
        <v>7</v>
      </c>
      <c r="E95" s="19" t="s">
        <v>93</v>
      </c>
      <c r="F95" s="3">
        <v>4423.6080000000002</v>
      </c>
      <c r="G95" s="11">
        <f>$F95*Daspalla_22!H95</f>
        <v>19379.826648000002</v>
      </c>
      <c r="H95" s="11">
        <f>$F95*Daspalla_22!I95</f>
        <v>18626.043844800002</v>
      </c>
      <c r="I95" s="11">
        <f>$F95*Daspalla_22!J95</f>
        <v>17750.1694608</v>
      </c>
      <c r="J95" s="11">
        <f>$F95*Daspalla_22!K95</f>
        <v>16843.772181600001</v>
      </c>
      <c r="K95" s="11">
        <f>$F95*Daspalla_22!L95</f>
        <v>15784.760426400002</v>
      </c>
      <c r="L95" s="11">
        <f>$F95*Daspalla_22!M95</f>
        <v>21012.137999999999</v>
      </c>
      <c r="M95" s="11">
        <f>$F95*Daspalla_22!N95</f>
        <v>21012.137999999999</v>
      </c>
      <c r="N95" s="11">
        <f>$F95*Daspalla_22!O95</f>
        <v>21012.137999999999</v>
      </c>
      <c r="O95" s="11">
        <f>$F95*Daspalla_22!P95</f>
        <v>21012.137999999999</v>
      </c>
      <c r="P95" s="11">
        <f>$F95*Daspalla_22!Q95</f>
        <v>21012.137999999999</v>
      </c>
      <c r="Q95" s="11">
        <f>$F95*Daspalla_22!R95</f>
        <v>20445.473815200003</v>
      </c>
      <c r="R95" s="11">
        <f>$F95*Daspalla_22!S95</f>
        <v>19942.509585600004</v>
      </c>
      <c r="S95" s="8" t="s">
        <v>91</v>
      </c>
      <c r="T95" s="21">
        <v>407010304170202</v>
      </c>
    </row>
    <row r="96" spans="1:20" x14ac:dyDescent="0.25">
      <c r="A96" s="8">
        <v>93</v>
      </c>
      <c r="B96" s="8">
        <v>20.321999999999999</v>
      </c>
      <c r="C96" s="8">
        <v>84.661500000000004</v>
      </c>
      <c r="D96" s="3" t="s">
        <v>7</v>
      </c>
      <c r="E96" s="19" t="s">
        <v>93</v>
      </c>
      <c r="F96" s="3">
        <v>961.45500000000004</v>
      </c>
      <c r="G96" s="11">
        <f>$F96*Daspalla_22!H96</f>
        <v>3250.6793549999998</v>
      </c>
      <c r="H96" s="11">
        <f>$F96*Daspalla_22!I96</f>
        <v>3086.8474230000002</v>
      </c>
      <c r="I96" s="11">
        <f>$F96*Daspalla_22!J96</f>
        <v>2896.4793330000002</v>
      </c>
      <c r="J96" s="11">
        <f>$F96*Daspalla_22!K96</f>
        <v>2699.4772035000001</v>
      </c>
      <c r="K96" s="11">
        <f>$F96*Daspalla_22!L96</f>
        <v>2469.3048765000003</v>
      </c>
      <c r="L96" s="11">
        <f>$F96*Daspalla_22!M96</f>
        <v>3605.4562500000002</v>
      </c>
      <c r="M96" s="11">
        <f>$F96*Daspalla_22!N96</f>
        <v>3605.4562500000002</v>
      </c>
      <c r="N96" s="11">
        <f>$F96*Daspalla_22!O96</f>
        <v>3605.4562500000002</v>
      </c>
      <c r="O96" s="11">
        <f>$F96*Daspalla_22!P96</f>
        <v>3605.4562500000002</v>
      </c>
      <c r="P96" s="11">
        <f>$F96*Daspalla_22!Q96</f>
        <v>3605.4562500000002</v>
      </c>
      <c r="Q96" s="11">
        <f>$F96*Daspalla_22!R96</f>
        <v>3482.2938645000004</v>
      </c>
      <c r="R96" s="11">
        <f>$F96*Daspalla_22!S96</f>
        <v>3372.976431</v>
      </c>
      <c r="S96" s="8" t="s">
        <v>91</v>
      </c>
      <c r="T96" s="21">
        <v>407010304170202</v>
      </c>
    </row>
    <row r="97" spans="1:20" x14ac:dyDescent="0.25">
      <c r="A97" s="8">
        <v>94</v>
      </c>
      <c r="B97" s="8">
        <v>20.3475</v>
      </c>
      <c r="C97" s="8">
        <v>84.653999999999996</v>
      </c>
      <c r="D97" s="3" t="s">
        <v>7</v>
      </c>
      <c r="E97" s="19" t="s">
        <v>93</v>
      </c>
      <c r="F97" s="3">
        <v>2185.7629999999999</v>
      </c>
      <c r="G97" s="11">
        <f>$F97*Daspalla_22!H97</f>
        <v>5204.3017029999992</v>
      </c>
      <c r="H97" s="11">
        <f>$F97*Daspalla_22!I97</f>
        <v>4831.8476877999992</v>
      </c>
      <c r="I97" s="11">
        <f>$F97*Daspalla_22!J97</f>
        <v>4399.0666137999997</v>
      </c>
      <c r="J97" s="11">
        <f>$F97*Daspalla_22!K97</f>
        <v>3951.2037750999993</v>
      </c>
      <c r="K97" s="11">
        <f>$F97*Daspalla_22!L97</f>
        <v>3427.9321128999995</v>
      </c>
      <c r="L97" s="11">
        <f>$F97*Daspalla_22!M97</f>
        <v>6010.84825</v>
      </c>
      <c r="M97" s="11">
        <f>$F97*Daspalla_22!N97</f>
        <v>6010.84825</v>
      </c>
      <c r="N97" s="11">
        <f>$F97*Daspalla_22!O97</f>
        <v>6010.84825</v>
      </c>
      <c r="O97" s="11">
        <f>$F97*Daspalla_22!P97</f>
        <v>6010.84825</v>
      </c>
      <c r="P97" s="11">
        <f>$F97*Daspalla_22!Q97</f>
        <v>6010.84825</v>
      </c>
      <c r="Q97" s="11">
        <f>$F97*Daspalla_22!R97</f>
        <v>5730.8520097000001</v>
      </c>
      <c r="R97" s="11">
        <f>$F97*Daspalla_22!S97</f>
        <v>5482.3307565999994</v>
      </c>
      <c r="S97" s="8" t="s">
        <v>91</v>
      </c>
      <c r="T97" s="21">
        <v>407010304170202</v>
      </c>
    </row>
    <row r="98" spans="1:20" x14ac:dyDescent="0.25">
      <c r="A98" s="8">
        <v>95</v>
      </c>
      <c r="B98" s="8">
        <v>20.325399999999998</v>
      </c>
      <c r="C98" s="8">
        <v>84.552199999999999</v>
      </c>
      <c r="D98" s="3" t="s">
        <v>7</v>
      </c>
      <c r="E98" s="19" t="s">
        <v>93</v>
      </c>
      <c r="F98" s="3">
        <v>521.74199999999996</v>
      </c>
      <c r="G98" s="11">
        <f>$F98*Daspalla_22!H98</f>
        <v>720.52570200000002</v>
      </c>
      <c r="H98" s="11">
        <f>$F98*Daspalla_22!I98</f>
        <v>631.62086520000014</v>
      </c>
      <c r="I98" s="11">
        <f>$F98*Daspalla_22!J98</f>
        <v>528.3159492000002</v>
      </c>
      <c r="J98" s="11">
        <f>$F98*Daspalla_22!K98</f>
        <v>421.41101340000017</v>
      </c>
      <c r="K98" s="11">
        <f>$F98*Daspalla_22!L98</f>
        <v>296.50597860000022</v>
      </c>
      <c r="L98" s="11">
        <f>$F98*Daspalla_22!M98</f>
        <v>913.04849999999988</v>
      </c>
      <c r="M98" s="11">
        <f>$F98*Daspalla_22!N98</f>
        <v>913.04849999999988</v>
      </c>
      <c r="N98" s="11">
        <f>$F98*Daspalla_22!O98</f>
        <v>913.04849999999988</v>
      </c>
      <c r="O98" s="11">
        <f>$F98*Daspalla_22!P98</f>
        <v>913.04849999999988</v>
      </c>
      <c r="P98" s="11">
        <f>$F98*Daspalla_22!Q98</f>
        <v>913.04849999999988</v>
      </c>
      <c r="Q98" s="11">
        <f>$F98*Daspalla_22!R98</f>
        <v>846.21334979999995</v>
      </c>
      <c r="R98" s="11">
        <f>$F98*Daspalla_22!S98</f>
        <v>786.89128440000002</v>
      </c>
      <c r="S98" s="8" t="s">
        <v>90</v>
      </c>
      <c r="T98" s="21">
        <v>407010304140201</v>
      </c>
    </row>
    <row r="99" spans="1:20" x14ac:dyDescent="0.25">
      <c r="A99" s="8">
        <v>96</v>
      </c>
      <c r="B99" s="8">
        <v>20.322399999999998</v>
      </c>
      <c r="C99" s="8">
        <v>84.527600000000007</v>
      </c>
      <c r="D99" s="3" t="s">
        <v>7</v>
      </c>
      <c r="E99" s="19" t="s">
        <v>93</v>
      </c>
      <c r="F99" s="3">
        <v>715.22400000000005</v>
      </c>
      <c r="G99" s="11">
        <f>$F99*Daspalla_22!H99</f>
        <v>2418.1723440000001</v>
      </c>
      <c r="H99" s="11">
        <f>$F99*Daspalla_22!I99</f>
        <v>2296.2981743999999</v>
      </c>
      <c r="I99" s="11">
        <f>$F99*Daspalla_22!J99</f>
        <v>2154.6838224000003</v>
      </c>
      <c r="J99" s="11">
        <f>$F99*Daspalla_22!K99</f>
        <v>2008.1344248000003</v>
      </c>
      <c r="K99" s="11">
        <f>$F99*Daspalla_22!L99</f>
        <v>1836.9097992000004</v>
      </c>
      <c r="L99" s="11">
        <f>$F99*Daspalla_22!M99</f>
        <v>2682.09</v>
      </c>
      <c r="M99" s="11">
        <f>$F99*Daspalla_22!N99</f>
        <v>2682.09</v>
      </c>
      <c r="N99" s="11">
        <f>$F99*Daspalla_22!O99</f>
        <v>2682.09</v>
      </c>
      <c r="O99" s="11">
        <f>$F99*Daspalla_22!P99</f>
        <v>2682.09</v>
      </c>
      <c r="P99" s="11">
        <f>$F99*Daspalla_22!Q99</f>
        <v>2682.09</v>
      </c>
      <c r="Q99" s="11">
        <f>$F99*Daspalla_22!R99</f>
        <v>2590.4698056000002</v>
      </c>
      <c r="R99" s="11">
        <f>$F99*Daspalla_22!S99</f>
        <v>2509.1488368</v>
      </c>
      <c r="S99" s="8" t="s">
        <v>79</v>
      </c>
      <c r="T99" s="21">
        <v>407010304140102</v>
      </c>
    </row>
    <row r="100" spans="1:20" x14ac:dyDescent="0.25">
      <c r="A100" s="8">
        <v>97</v>
      </c>
      <c r="B100" s="8">
        <v>20.3248</v>
      </c>
      <c r="C100" s="8">
        <v>84.5334</v>
      </c>
      <c r="D100" s="3" t="s">
        <v>7</v>
      </c>
      <c r="E100" s="19" t="s">
        <v>93</v>
      </c>
      <c r="F100" s="3">
        <v>535.79899999999998</v>
      </c>
      <c r="G100" s="11">
        <f>$F100*Daspalla_22!H100</f>
        <v>739.93841900000007</v>
      </c>
      <c r="H100" s="11">
        <f>$F100*Daspalla_22!I100</f>
        <v>648.63826940000013</v>
      </c>
      <c r="I100" s="11">
        <f>$F100*Daspalla_22!J100</f>
        <v>542.55006740000022</v>
      </c>
      <c r="J100" s="11">
        <f>$F100*Daspalla_22!K100</f>
        <v>432.7648523000002</v>
      </c>
      <c r="K100" s="11">
        <f>$F100*Daspalla_22!L100</f>
        <v>304.49457170000022</v>
      </c>
      <c r="L100" s="11">
        <f>$F100*Daspalla_22!M100</f>
        <v>937.64824999999996</v>
      </c>
      <c r="M100" s="11">
        <f>$F100*Daspalla_22!N100</f>
        <v>937.64824999999996</v>
      </c>
      <c r="N100" s="11">
        <f>$F100*Daspalla_22!O100</f>
        <v>937.64824999999996</v>
      </c>
      <c r="O100" s="11">
        <f>$F100*Daspalla_22!P100</f>
        <v>937.64824999999996</v>
      </c>
      <c r="P100" s="11">
        <f>$F100*Daspalla_22!Q100</f>
        <v>937.64824999999996</v>
      </c>
      <c r="Q100" s="11">
        <f>$F100*Daspalla_22!R100</f>
        <v>869.01239810000004</v>
      </c>
      <c r="R100" s="11">
        <f>$F100*Daspalla_22!S100</f>
        <v>808.09205180000004</v>
      </c>
      <c r="S100" s="8" t="s">
        <v>84</v>
      </c>
      <c r="T100" s="21">
        <v>407010304140103</v>
      </c>
    </row>
    <row r="101" spans="1:20" x14ac:dyDescent="0.25">
      <c r="A101" s="8">
        <v>98</v>
      </c>
      <c r="B101" s="8">
        <v>20.331600000000002</v>
      </c>
      <c r="C101" s="8">
        <v>84.525999999999996</v>
      </c>
      <c r="D101" s="3" t="s">
        <v>7</v>
      </c>
      <c r="E101" s="19" t="s">
        <v>93</v>
      </c>
      <c r="F101" s="3">
        <v>426.30900000000003</v>
      </c>
      <c r="G101" s="11">
        <f>$F101*Daspalla_22!H101</f>
        <v>588.73272900000018</v>
      </c>
      <c r="H101" s="11">
        <f>$F101*Daspalla_22!I101</f>
        <v>516.08967540000015</v>
      </c>
      <c r="I101" s="11">
        <f>$F101*Daspalla_22!J101</f>
        <v>431.68049340000022</v>
      </c>
      <c r="J101" s="11">
        <f>$F101*Daspalla_22!K101</f>
        <v>344.32977930000021</v>
      </c>
      <c r="K101" s="11">
        <f>$F101*Daspalla_22!L101</f>
        <v>242.2714047000002</v>
      </c>
      <c r="L101" s="11">
        <f>$F101*Daspalla_22!M101</f>
        <v>746.04075</v>
      </c>
      <c r="M101" s="11">
        <f>$F101*Daspalla_22!N101</f>
        <v>746.04075</v>
      </c>
      <c r="N101" s="11">
        <f>$F101*Daspalla_22!O101</f>
        <v>746.04075</v>
      </c>
      <c r="O101" s="11">
        <f>$F101*Daspalla_22!P101</f>
        <v>746.04075</v>
      </c>
      <c r="P101" s="11">
        <f>$F101*Daspalla_22!Q101</f>
        <v>746.04075</v>
      </c>
      <c r="Q101" s="11">
        <f>$F101*Daspalla_22!R101</f>
        <v>691.43056710000008</v>
      </c>
      <c r="R101" s="11">
        <f>$F101*Daspalla_22!S101</f>
        <v>642.95923380000011</v>
      </c>
      <c r="S101" s="8" t="s">
        <v>84</v>
      </c>
      <c r="T101" s="21">
        <v>407010304140103</v>
      </c>
    </row>
    <row r="102" spans="1:20" x14ac:dyDescent="0.25">
      <c r="A102" s="8">
        <v>99</v>
      </c>
      <c r="B102" s="8">
        <v>20.334499999999998</v>
      </c>
      <c r="C102" s="8">
        <v>84.521199999999993</v>
      </c>
      <c r="D102" s="3" t="s">
        <v>7</v>
      </c>
      <c r="E102" s="19" t="s">
        <v>93</v>
      </c>
      <c r="F102" s="3">
        <v>1256.681</v>
      </c>
      <c r="G102" s="11">
        <f>$F102*Daspalla_22!H102</f>
        <v>2992.1574609999998</v>
      </c>
      <c r="H102" s="11">
        <f>$F102*Daspalla_22!I102</f>
        <v>2778.0190186</v>
      </c>
      <c r="I102" s="11">
        <f>$F102*Daspalla_22!J102</f>
        <v>2529.1961805999999</v>
      </c>
      <c r="J102" s="11">
        <f>$F102*Daspalla_22!K102</f>
        <v>2271.7022437000001</v>
      </c>
      <c r="K102" s="11">
        <f>$F102*Daspalla_22!L102</f>
        <v>1970.8528122999999</v>
      </c>
      <c r="L102" s="11">
        <f>$F102*Daspalla_22!M102</f>
        <v>3455.87275</v>
      </c>
      <c r="M102" s="11">
        <f>$F102*Daspalla_22!N102</f>
        <v>3455.87275</v>
      </c>
      <c r="N102" s="11">
        <f>$F102*Daspalla_22!O102</f>
        <v>3455.87275</v>
      </c>
      <c r="O102" s="11">
        <f>$F102*Daspalla_22!P102</f>
        <v>3455.87275</v>
      </c>
      <c r="P102" s="11">
        <f>$F102*Daspalla_22!Q102</f>
        <v>3455.87275</v>
      </c>
      <c r="Q102" s="11">
        <f>$F102*Daspalla_22!R102</f>
        <v>3294.8919139000004</v>
      </c>
      <c r="R102" s="11">
        <f>$F102*Daspalla_22!S102</f>
        <v>3152.0072842</v>
      </c>
      <c r="S102" s="8" t="s">
        <v>79</v>
      </c>
      <c r="T102" s="21">
        <v>407010304140102</v>
      </c>
    </row>
    <row r="103" spans="1:20" x14ac:dyDescent="0.25">
      <c r="A103" s="8">
        <v>100</v>
      </c>
      <c r="B103" s="8">
        <v>20.335899999999999</v>
      </c>
      <c r="C103" s="8">
        <v>84.522099999999995</v>
      </c>
      <c r="D103" s="3" t="s">
        <v>7</v>
      </c>
      <c r="E103" s="19" t="s">
        <v>93</v>
      </c>
      <c r="F103" s="3">
        <v>3003.681</v>
      </c>
      <c r="G103" s="11">
        <f>$F103*Daspalla_22!H103</f>
        <v>10155.445460999999</v>
      </c>
      <c r="H103" s="11">
        <f>$F103*Daspalla_22!I103</f>
        <v>9643.6182186000005</v>
      </c>
      <c r="I103" s="11">
        <f>$F103*Daspalla_22!J103</f>
        <v>9048.8893805999996</v>
      </c>
      <c r="J103" s="11">
        <f>$F103*Daspalla_22!K103</f>
        <v>8433.4351437000005</v>
      </c>
      <c r="K103" s="11">
        <f>$F103*Daspalla_22!L103</f>
        <v>7714.353912300001</v>
      </c>
      <c r="L103" s="11">
        <f>$F103*Daspalla_22!M103</f>
        <v>11263.803750000001</v>
      </c>
      <c r="M103" s="11">
        <f>$F103*Daspalla_22!N103</f>
        <v>11263.803750000001</v>
      </c>
      <c r="N103" s="11">
        <f>$F103*Daspalla_22!O103</f>
        <v>11263.803750000001</v>
      </c>
      <c r="O103" s="11">
        <f>$F103*Daspalla_22!P103</f>
        <v>11263.803750000001</v>
      </c>
      <c r="P103" s="11">
        <f>$F103*Daspalla_22!Q103</f>
        <v>11263.803750000001</v>
      </c>
      <c r="Q103" s="11">
        <f>$F103*Daspalla_22!R103</f>
        <v>10879.0322139</v>
      </c>
      <c r="R103" s="11">
        <f>$F103*Daspalla_22!S103</f>
        <v>10537.513684199999</v>
      </c>
      <c r="S103" s="8" t="s">
        <v>79</v>
      </c>
      <c r="T103" s="21">
        <v>407010304140102</v>
      </c>
    </row>
    <row r="104" spans="1:20" x14ac:dyDescent="0.25">
      <c r="A104" s="8">
        <v>101</v>
      </c>
      <c r="B104" s="8">
        <v>20.335999999999999</v>
      </c>
      <c r="C104" s="8">
        <v>84.521600000000007</v>
      </c>
      <c r="D104" s="3" t="s">
        <v>7</v>
      </c>
      <c r="E104" s="19" t="s">
        <v>93</v>
      </c>
      <c r="F104" s="3">
        <v>588.20600000000002</v>
      </c>
      <c r="G104" s="11">
        <f>$F104*Daspalla_22!H104</f>
        <v>812.31248600000015</v>
      </c>
      <c r="H104" s="11">
        <f>$F104*Daspalla_22!I104</f>
        <v>712.08218360000023</v>
      </c>
      <c r="I104" s="11">
        <f>$F104*Daspalla_22!J104</f>
        <v>595.61739560000024</v>
      </c>
      <c r="J104" s="11">
        <f>$F104*Daspalla_22!K104</f>
        <v>475.09398620000024</v>
      </c>
      <c r="K104" s="11">
        <f>$F104*Daspalla_22!L104</f>
        <v>334.27746980000029</v>
      </c>
      <c r="L104" s="11">
        <f>$F104*Daspalla_22!M104</f>
        <v>1029.3605</v>
      </c>
      <c r="M104" s="11">
        <f>$F104*Daspalla_22!N104</f>
        <v>1029.3605</v>
      </c>
      <c r="N104" s="11">
        <f>$F104*Daspalla_22!O104</f>
        <v>1029.3605</v>
      </c>
      <c r="O104" s="11">
        <f>$F104*Daspalla_22!P104</f>
        <v>1029.3605</v>
      </c>
      <c r="P104" s="11">
        <f>$F104*Daspalla_22!Q104</f>
        <v>1029.3605</v>
      </c>
      <c r="Q104" s="11">
        <f>$F104*Daspalla_22!R104</f>
        <v>954.01131140000007</v>
      </c>
      <c r="R104" s="11">
        <f>$F104*Daspalla_22!S104</f>
        <v>887.13228920000017</v>
      </c>
      <c r="S104" s="8" t="s">
        <v>79</v>
      </c>
      <c r="T104" s="21">
        <v>407010304140102</v>
      </c>
    </row>
    <row r="105" spans="1:20" x14ac:dyDescent="0.25">
      <c r="A105" s="8">
        <v>102</v>
      </c>
      <c r="B105" s="8">
        <v>20.328199999999999</v>
      </c>
      <c r="C105" s="8">
        <v>84.525499999999994</v>
      </c>
      <c r="D105" s="3" t="s">
        <v>7</v>
      </c>
      <c r="E105" s="19" t="s">
        <v>93</v>
      </c>
      <c r="F105" s="3">
        <v>616.93600000000004</v>
      </c>
      <c r="G105" s="11">
        <f>$F105*Daspalla_22!H105</f>
        <v>1160.4566160000002</v>
      </c>
      <c r="H105" s="11">
        <f>$F105*Daspalla_22!I105</f>
        <v>1055.3307216000001</v>
      </c>
      <c r="I105" s="11">
        <f>$F105*Daspalla_22!J105</f>
        <v>933.17739360000019</v>
      </c>
      <c r="J105" s="11">
        <f>$F105*Daspalla_22!K105</f>
        <v>806.76720720000014</v>
      </c>
      <c r="K105" s="11">
        <f>$F105*Daspalla_22!L105</f>
        <v>659.07272880000005</v>
      </c>
      <c r="L105" s="11">
        <f>$F105*Daspalla_22!M105</f>
        <v>1388.106</v>
      </c>
      <c r="M105" s="11">
        <f>$F105*Daspalla_22!N105</f>
        <v>1388.106</v>
      </c>
      <c r="N105" s="11">
        <f>$F105*Daspalla_22!O105</f>
        <v>1388.106</v>
      </c>
      <c r="O105" s="11">
        <f>$F105*Daspalla_22!P105</f>
        <v>1388.106</v>
      </c>
      <c r="P105" s="11">
        <f>$F105*Daspalla_22!Q105</f>
        <v>1388.106</v>
      </c>
      <c r="Q105" s="11">
        <f>$F105*Daspalla_22!R105</f>
        <v>1309.0764984000002</v>
      </c>
      <c r="R105" s="11">
        <f>$F105*Daspalla_22!S105</f>
        <v>1238.9308752000002</v>
      </c>
      <c r="S105" s="8" t="s">
        <v>79</v>
      </c>
      <c r="T105" s="21">
        <v>407010304140102</v>
      </c>
    </row>
    <row r="106" spans="1:20" x14ac:dyDescent="0.25">
      <c r="A106" s="8">
        <v>103</v>
      </c>
      <c r="B106" s="8">
        <v>20.328399999999998</v>
      </c>
      <c r="C106" s="8">
        <v>84.524900000000002</v>
      </c>
      <c r="D106" s="3" t="s">
        <v>7</v>
      </c>
      <c r="E106" s="19" t="s">
        <v>93</v>
      </c>
      <c r="F106" s="3">
        <v>209.15899999999999</v>
      </c>
      <c r="G106" s="11">
        <f>$F106*Daspalla_22!H106</f>
        <v>288.84857900000003</v>
      </c>
      <c r="H106" s="11">
        <f>$F106*Daspalla_22!I106</f>
        <v>253.20788540000007</v>
      </c>
      <c r="I106" s="11">
        <f>$F106*Daspalla_22!J106</f>
        <v>211.79440340000008</v>
      </c>
      <c r="J106" s="11">
        <f>$F106*Daspalla_22!K106</f>
        <v>168.93772430000007</v>
      </c>
      <c r="K106" s="11">
        <f>$F106*Daspalla_22!L106</f>
        <v>118.86505970000009</v>
      </c>
      <c r="L106" s="11">
        <f>$F106*Daspalla_22!M106</f>
        <v>366.02824999999996</v>
      </c>
      <c r="M106" s="11">
        <f>$F106*Daspalla_22!N106</f>
        <v>366.02824999999996</v>
      </c>
      <c r="N106" s="11">
        <f>$F106*Daspalla_22!O106</f>
        <v>366.02824999999996</v>
      </c>
      <c r="O106" s="11">
        <f>$F106*Daspalla_22!P106</f>
        <v>366.02824999999996</v>
      </c>
      <c r="P106" s="11">
        <f>$F106*Daspalla_22!Q106</f>
        <v>366.02824999999996</v>
      </c>
      <c r="Q106" s="11">
        <f>$F106*Daspalla_22!R106</f>
        <v>339.23498210000002</v>
      </c>
      <c r="R106" s="11">
        <f>$F106*Daspalla_22!S106</f>
        <v>315.45360380000005</v>
      </c>
      <c r="S106" s="8" t="s">
        <v>79</v>
      </c>
      <c r="T106" s="21">
        <v>407010304140102</v>
      </c>
    </row>
    <row r="107" spans="1:20" x14ac:dyDescent="0.25">
      <c r="A107" s="8">
        <v>104</v>
      </c>
      <c r="B107" s="8">
        <v>20.354800000000001</v>
      </c>
      <c r="C107" s="8">
        <v>84.534999999999997</v>
      </c>
      <c r="D107" s="3" t="s">
        <v>7</v>
      </c>
      <c r="E107" s="19" t="s">
        <v>93</v>
      </c>
      <c r="F107" s="3">
        <v>2055.5569999999998</v>
      </c>
      <c r="G107" s="11">
        <f>$F107*Daspalla_22!H107</f>
        <v>4894.2812169999988</v>
      </c>
      <c r="H107" s="11">
        <f>$F107*Daspalla_22!I107</f>
        <v>4544.0143041999991</v>
      </c>
      <c r="I107" s="11">
        <f>$F107*Daspalla_22!J107</f>
        <v>4137.0140181999996</v>
      </c>
      <c r="J107" s="11">
        <f>$F107*Daspalla_22!K107</f>
        <v>3715.8303888999994</v>
      </c>
      <c r="K107" s="11">
        <f>$F107*Daspalla_22!L107</f>
        <v>3223.7300430999994</v>
      </c>
      <c r="L107" s="11">
        <f>$F107*Daspalla_22!M107</f>
        <v>5652.7817499999992</v>
      </c>
      <c r="M107" s="11">
        <f>$F107*Daspalla_22!N107</f>
        <v>5652.7817499999992</v>
      </c>
      <c r="N107" s="11">
        <f>$F107*Daspalla_22!O107</f>
        <v>5652.7817499999992</v>
      </c>
      <c r="O107" s="11">
        <f>$F107*Daspalla_22!P107</f>
        <v>5652.7817499999992</v>
      </c>
      <c r="P107" s="11">
        <f>$F107*Daspalla_22!Q107</f>
        <v>5652.7817499999992</v>
      </c>
      <c r="Q107" s="11">
        <f>$F107*Daspalla_22!R107</f>
        <v>5389.4648982999997</v>
      </c>
      <c r="R107" s="11">
        <f>$F107*Daspalla_22!S107</f>
        <v>5155.7480673999999</v>
      </c>
      <c r="S107" s="8" t="s">
        <v>88</v>
      </c>
      <c r="T107" s="21">
        <v>407010304140104</v>
      </c>
    </row>
    <row r="108" spans="1:20" x14ac:dyDescent="0.25">
      <c r="A108" s="8">
        <v>105</v>
      </c>
      <c r="B108" s="8">
        <v>20.354299999999999</v>
      </c>
      <c r="C108" s="8">
        <v>84.538899999999998</v>
      </c>
      <c r="D108" s="3" t="s">
        <v>7</v>
      </c>
      <c r="E108" s="19" t="s">
        <v>93</v>
      </c>
      <c r="F108" s="3">
        <v>697.63099999999997</v>
      </c>
      <c r="G108" s="11">
        <f>$F108*Daspalla_22!H108</f>
        <v>1661.0594109999997</v>
      </c>
      <c r="H108" s="11">
        <f>$F108*Daspalla_22!I108</f>
        <v>1542.1830885999998</v>
      </c>
      <c r="I108" s="11">
        <f>$F108*Daspalla_22!J108</f>
        <v>1404.0521506</v>
      </c>
      <c r="J108" s="11">
        <f>$F108*Daspalla_22!K108</f>
        <v>1261.1075586999998</v>
      </c>
      <c r="K108" s="11">
        <f>$F108*Daspalla_22!L108</f>
        <v>1094.0946972999998</v>
      </c>
      <c r="L108" s="11">
        <f>$F108*Daspalla_22!M108</f>
        <v>1918.48525</v>
      </c>
      <c r="M108" s="11">
        <f>$F108*Daspalla_22!N108</f>
        <v>1918.48525</v>
      </c>
      <c r="N108" s="11">
        <f>$F108*Daspalla_22!O108</f>
        <v>1918.48525</v>
      </c>
      <c r="O108" s="11">
        <f>$F108*Daspalla_22!P108</f>
        <v>1918.48525</v>
      </c>
      <c r="P108" s="11">
        <f>$F108*Daspalla_22!Q108</f>
        <v>1918.48525</v>
      </c>
      <c r="Q108" s="11">
        <f>$F108*Daspalla_22!R108</f>
        <v>1829.1187189</v>
      </c>
      <c r="R108" s="11">
        <f>$F108*Daspalla_22!S108</f>
        <v>1749.7980742</v>
      </c>
      <c r="S108" s="8" t="s">
        <v>88</v>
      </c>
      <c r="T108" s="21">
        <v>407010304140104</v>
      </c>
    </row>
    <row r="109" spans="1:20" x14ac:dyDescent="0.25">
      <c r="A109" s="8">
        <v>106</v>
      </c>
      <c r="B109" s="8">
        <v>20.357600000000001</v>
      </c>
      <c r="C109" s="8">
        <v>84.540599999999998</v>
      </c>
      <c r="D109" s="3" t="s">
        <v>7</v>
      </c>
      <c r="E109" s="19" t="s">
        <v>93</v>
      </c>
      <c r="F109" s="3">
        <v>1922.7529999999999</v>
      </c>
      <c r="G109" s="11">
        <f>$F109*Daspalla_22!H109</f>
        <v>6500.8278929999997</v>
      </c>
      <c r="H109" s="11">
        <f>$F109*Daspalla_22!I109</f>
        <v>6173.1907818</v>
      </c>
      <c r="I109" s="11">
        <f>$F109*Daspalla_22!J109</f>
        <v>5792.4856878000001</v>
      </c>
      <c r="J109" s="11">
        <f>$F109*Daspalla_22!K109</f>
        <v>5398.5135981000003</v>
      </c>
      <c r="K109" s="11">
        <f>$F109*Daspalla_22!L109</f>
        <v>4938.2065299000005</v>
      </c>
      <c r="L109" s="11">
        <f>$F109*Daspalla_22!M109</f>
        <v>7210.3237499999996</v>
      </c>
      <c r="M109" s="11">
        <f>$F109*Daspalla_22!N109</f>
        <v>7210.3237499999996</v>
      </c>
      <c r="N109" s="11">
        <f>$F109*Daspalla_22!O109</f>
        <v>7210.3237499999996</v>
      </c>
      <c r="O109" s="11">
        <f>$F109*Daspalla_22!P109</f>
        <v>7210.3237499999996</v>
      </c>
      <c r="P109" s="11">
        <f>$F109*Daspalla_22!Q109</f>
        <v>7210.3237499999996</v>
      </c>
      <c r="Q109" s="11">
        <f>$F109*Daspalla_22!R109</f>
        <v>6964.0190906999997</v>
      </c>
      <c r="R109" s="11">
        <f>$F109*Daspalla_22!S109</f>
        <v>6745.4020745999997</v>
      </c>
      <c r="S109" s="8" t="s">
        <v>88</v>
      </c>
      <c r="T109" s="21">
        <v>407010304140104</v>
      </c>
    </row>
    <row r="110" spans="1:20" x14ac:dyDescent="0.25">
      <c r="A110" s="8">
        <v>107</v>
      </c>
      <c r="B110" s="8">
        <v>20.3612</v>
      </c>
      <c r="C110" s="8">
        <v>84.540499999999994</v>
      </c>
      <c r="D110" s="3" t="s">
        <v>7</v>
      </c>
      <c r="E110" s="19" t="s">
        <v>93</v>
      </c>
      <c r="F110" s="3">
        <v>488.44299999999998</v>
      </c>
      <c r="G110" s="11">
        <f>$F110*Daspalla_22!H110</f>
        <v>674.53978300000006</v>
      </c>
      <c r="H110" s="11">
        <f>$F110*Daspalla_22!I110</f>
        <v>591.30909580000014</v>
      </c>
      <c r="I110" s="11">
        <f>$F110*Daspalla_22!J110</f>
        <v>494.59738180000016</v>
      </c>
      <c r="J110" s="11">
        <f>$F110*Daspalla_22!K110</f>
        <v>394.51541110000016</v>
      </c>
      <c r="K110" s="11">
        <f>$F110*Daspalla_22!L110</f>
        <v>277.5821569000002</v>
      </c>
      <c r="L110" s="11">
        <f>$F110*Daspalla_22!M110</f>
        <v>854.77524999999991</v>
      </c>
      <c r="M110" s="11">
        <f>$F110*Daspalla_22!N110</f>
        <v>854.77524999999991</v>
      </c>
      <c r="N110" s="11">
        <f>$F110*Daspalla_22!O110</f>
        <v>854.77524999999991</v>
      </c>
      <c r="O110" s="11">
        <f>$F110*Daspalla_22!P110</f>
        <v>854.77524999999991</v>
      </c>
      <c r="P110" s="11">
        <f>$F110*Daspalla_22!Q110</f>
        <v>854.77524999999991</v>
      </c>
      <c r="Q110" s="11">
        <f>$F110*Daspalla_22!R110</f>
        <v>792.20570170000008</v>
      </c>
      <c r="R110" s="11">
        <f>$F110*Daspalla_22!S110</f>
        <v>736.66973260000009</v>
      </c>
      <c r="S110" s="8" t="s">
        <v>88</v>
      </c>
      <c r="T110" s="21">
        <v>407010304140104</v>
      </c>
    </row>
    <row r="111" spans="1:20" x14ac:dyDescent="0.25">
      <c r="A111" s="8">
        <v>108</v>
      </c>
      <c r="B111" s="8">
        <v>20.402999999999999</v>
      </c>
      <c r="C111" s="8">
        <v>84.659899999999993</v>
      </c>
      <c r="D111" s="3" t="s">
        <v>7</v>
      </c>
      <c r="E111" s="19" t="s">
        <v>93</v>
      </c>
      <c r="F111" s="3">
        <v>3089.5680000000002</v>
      </c>
      <c r="G111" s="11">
        <f>$F111*Daspalla_22!H111</f>
        <v>7356.2614079999994</v>
      </c>
      <c r="H111" s="11">
        <f>$F111*Daspalla_22!I111</f>
        <v>6829.7990208000001</v>
      </c>
      <c r="I111" s="11">
        <f>$F111*Daspalla_22!J111</f>
        <v>6218.0645568</v>
      </c>
      <c r="J111" s="11">
        <f>$F111*Daspalla_22!K111</f>
        <v>5585.0120735999999</v>
      </c>
      <c r="K111" s="11">
        <f>$F111*Daspalla_22!L111</f>
        <v>4845.3694943999999</v>
      </c>
      <c r="L111" s="11">
        <f>$F111*Daspalla_22!M111</f>
        <v>8496.3119999999999</v>
      </c>
      <c r="M111" s="11">
        <f>$F111*Daspalla_22!N111</f>
        <v>8496.3119999999999</v>
      </c>
      <c r="N111" s="11">
        <f>$F111*Daspalla_22!O111</f>
        <v>8496.3119999999999</v>
      </c>
      <c r="O111" s="11">
        <f>$F111*Daspalla_22!P111</f>
        <v>8496.3119999999999</v>
      </c>
      <c r="P111" s="11">
        <f>$F111*Daspalla_22!Q111</f>
        <v>8496.3119999999999</v>
      </c>
      <c r="Q111" s="11">
        <f>$F111*Daspalla_22!R111</f>
        <v>8100.5383392000012</v>
      </c>
      <c r="R111" s="11">
        <f>$F111*Daspalla_22!S111</f>
        <v>7749.2544576000009</v>
      </c>
      <c r="S111" s="8" t="s">
        <v>76</v>
      </c>
      <c r="T111" s="21">
        <v>407010304130201</v>
      </c>
    </row>
    <row r="112" spans="1:20" x14ac:dyDescent="0.25">
      <c r="A112" s="8">
        <v>109</v>
      </c>
      <c r="B112" s="8">
        <v>20.4024</v>
      </c>
      <c r="C112" s="8">
        <v>84.659899999999993</v>
      </c>
      <c r="D112" s="3" t="s">
        <v>7</v>
      </c>
      <c r="E112" s="19" t="s">
        <v>93</v>
      </c>
      <c r="F112" s="3">
        <v>3490.5210000000002</v>
      </c>
      <c r="G112" s="11">
        <f>$F112*Daspalla_22!H112</f>
        <v>11801.451501</v>
      </c>
      <c r="H112" s="11">
        <f>$F112*Daspalla_22!I112</f>
        <v>11206.666722600001</v>
      </c>
      <c r="I112" s="11">
        <f>$F112*Daspalla_22!J112</f>
        <v>10515.543564600001</v>
      </c>
      <c r="J112" s="11">
        <f>$F112*Daspalla_22!K112</f>
        <v>9800.3358117000007</v>
      </c>
      <c r="K112" s="11">
        <f>$F112*Daspalla_22!L112</f>
        <v>8964.7050843000015</v>
      </c>
      <c r="L112" s="11">
        <f>$F112*Daspalla_22!M112</f>
        <v>13089.453750000001</v>
      </c>
      <c r="M112" s="11">
        <f>$F112*Daspalla_22!N112</f>
        <v>13089.453750000001</v>
      </c>
      <c r="N112" s="11">
        <f>$F112*Daspalla_22!O112</f>
        <v>13089.453750000001</v>
      </c>
      <c r="O112" s="11">
        <f>$F112*Daspalla_22!P112</f>
        <v>13089.453750000001</v>
      </c>
      <c r="P112" s="11">
        <f>$F112*Daspalla_22!Q112</f>
        <v>13089.453750000001</v>
      </c>
      <c r="Q112" s="11">
        <f>$F112*Daspalla_22!R112</f>
        <v>12642.318009900002</v>
      </c>
      <c r="R112" s="11">
        <f>$F112*Daspalla_22!S112</f>
        <v>12245.445772200001</v>
      </c>
      <c r="S112" s="8" t="s">
        <v>76</v>
      </c>
      <c r="T112" s="21">
        <v>407010304130201</v>
      </c>
    </row>
    <row r="113" spans="1:20" x14ac:dyDescent="0.25">
      <c r="A113" s="8">
        <v>110</v>
      </c>
      <c r="B113" s="8">
        <v>20.4041</v>
      </c>
      <c r="C113" s="8">
        <v>84.664199999999994</v>
      </c>
      <c r="D113" s="3" t="s">
        <v>7</v>
      </c>
      <c r="E113" s="19" t="s">
        <v>93</v>
      </c>
      <c r="F113" s="3">
        <v>2215.0630000000001</v>
      </c>
      <c r="G113" s="11">
        <f>$F113*Daspalla_22!H113</f>
        <v>3059.0020030000005</v>
      </c>
      <c r="H113" s="11">
        <f>$F113*Daspalla_22!I113</f>
        <v>2681.5552678000008</v>
      </c>
      <c r="I113" s="11">
        <f>$F113*Daspalla_22!J113</f>
        <v>2242.972793800001</v>
      </c>
      <c r="J113" s="11">
        <f>$F113*Daspalla_22!K113</f>
        <v>1789.106385100001</v>
      </c>
      <c r="K113" s="11">
        <f>$F113*Daspalla_22!L113</f>
        <v>1258.820302900001</v>
      </c>
      <c r="L113" s="11">
        <f>$F113*Daspalla_22!M113</f>
        <v>3876.3602500000002</v>
      </c>
      <c r="M113" s="11">
        <f>$F113*Daspalla_22!N113</f>
        <v>3876.3602500000002</v>
      </c>
      <c r="N113" s="11">
        <f>$F113*Daspalla_22!O113</f>
        <v>3876.3602500000002</v>
      </c>
      <c r="O113" s="11">
        <f>$F113*Daspalla_22!P113</f>
        <v>3876.3602500000002</v>
      </c>
      <c r="P113" s="11">
        <f>$F113*Daspalla_22!Q113</f>
        <v>3876.3602500000002</v>
      </c>
      <c r="Q113" s="11">
        <f>$F113*Daspalla_22!R113</f>
        <v>3592.6106797000002</v>
      </c>
      <c r="R113" s="11">
        <f>$F113*Daspalla_22!S113</f>
        <v>3340.7580166000007</v>
      </c>
      <c r="S113" s="8" t="s">
        <v>76</v>
      </c>
      <c r="T113" s="21">
        <v>407010304130201</v>
      </c>
    </row>
    <row r="114" spans="1:20" x14ac:dyDescent="0.25">
      <c r="A114" s="8">
        <v>111</v>
      </c>
      <c r="B114" s="8">
        <v>20.3934</v>
      </c>
      <c r="C114" s="8">
        <v>84.656999999999996</v>
      </c>
      <c r="D114" s="3" t="s">
        <v>7</v>
      </c>
      <c r="E114" s="19" t="s">
        <v>93</v>
      </c>
      <c r="F114" s="3">
        <v>1630.182</v>
      </c>
      <c r="G114" s="11">
        <f>$F114*Daspalla_22!H114</f>
        <v>2251.2813420000002</v>
      </c>
      <c r="H114" s="11">
        <f>$F114*Daspalla_22!I114</f>
        <v>1973.4983292000006</v>
      </c>
      <c r="I114" s="11">
        <f>$F114*Daspalla_22!J114</f>
        <v>1650.7222932000006</v>
      </c>
      <c r="J114" s="11">
        <f>$F114*Daspalla_22!K114</f>
        <v>1316.6980014000007</v>
      </c>
      <c r="K114" s="11">
        <f>$F114*Daspalla_22!L114</f>
        <v>926.43243060000077</v>
      </c>
      <c r="L114" s="11">
        <f>$F114*Daspalla_22!M114</f>
        <v>2852.8184999999999</v>
      </c>
      <c r="M114" s="11">
        <f>$F114*Daspalla_22!N114</f>
        <v>2852.8184999999999</v>
      </c>
      <c r="N114" s="11">
        <f>$F114*Daspalla_22!O114</f>
        <v>2852.8184999999999</v>
      </c>
      <c r="O114" s="11">
        <f>$F114*Daspalla_22!P114</f>
        <v>2852.8184999999999</v>
      </c>
      <c r="P114" s="11">
        <f>$F114*Daspalla_22!Q114</f>
        <v>2852.8184999999999</v>
      </c>
      <c r="Q114" s="11">
        <f>$F114*Daspalla_22!R114</f>
        <v>2643.9921858000002</v>
      </c>
      <c r="R114" s="11">
        <f>$F114*Daspalla_22!S114</f>
        <v>2458.6404924000003</v>
      </c>
      <c r="S114" s="8" t="s">
        <v>76</v>
      </c>
      <c r="T114" s="21">
        <v>407010304130201</v>
      </c>
    </row>
    <row r="115" spans="1:20" x14ac:dyDescent="0.25">
      <c r="A115" s="8">
        <v>112</v>
      </c>
      <c r="B115" s="8">
        <v>20.387699999999999</v>
      </c>
      <c r="C115" s="8">
        <v>84.663200000000003</v>
      </c>
      <c r="D115" s="3" t="s">
        <v>7</v>
      </c>
      <c r="E115" s="19" t="s">
        <v>93</v>
      </c>
      <c r="F115" s="3">
        <v>1570.492</v>
      </c>
      <c r="G115" s="11">
        <f>$F115*Daspalla_22!H115</f>
        <v>2168.8494520000004</v>
      </c>
      <c r="H115" s="11">
        <f>$F115*Daspalla_22!I115</f>
        <v>1901.2376152000004</v>
      </c>
      <c r="I115" s="11">
        <f>$F115*Daspalla_22!J115</f>
        <v>1590.2801992000007</v>
      </c>
      <c r="J115" s="11">
        <f>$F115*Daspalla_22!K115</f>
        <v>1268.4863884000006</v>
      </c>
      <c r="K115" s="11">
        <f>$F115*Daspalla_22!L115</f>
        <v>892.51060360000076</v>
      </c>
      <c r="L115" s="11">
        <f>$F115*Daspalla_22!M115</f>
        <v>2748.3609999999999</v>
      </c>
      <c r="M115" s="11">
        <f>$F115*Daspalla_22!N115</f>
        <v>2748.3609999999999</v>
      </c>
      <c r="N115" s="11">
        <f>$F115*Daspalla_22!O115</f>
        <v>2748.3609999999999</v>
      </c>
      <c r="O115" s="11">
        <f>$F115*Daspalla_22!P115</f>
        <v>2748.3609999999999</v>
      </c>
      <c r="P115" s="11">
        <f>$F115*Daspalla_22!Q115</f>
        <v>2748.3609999999999</v>
      </c>
      <c r="Q115" s="11">
        <f>$F115*Daspalla_22!R115</f>
        <v>2547.1809748000001</v>
      </c>
      <c r="R115" s="11">
        <f>$F115*Daspalla_22!S115</f>
        <v>2368.6160344000004</v>
      </c>
      <c r="S115" s="8" t="s">
        <v>76</v>
      </c>
      <c r="T115" s="21">
        <v>407010304130201</v>
      </c>
    </row>
    <row r="116" spans="1:20" x14ac:dyDescent="0.25">
      <c r="A116" s="8">
        <v>113</v>
      </c>
      <c r="B116" s="8">
        <v>20.3874</v>
      </c>
      <c r="C116" s="8">
        <v>84.663600000000002</v>
      </c>
      <c r="D116" s="3" t="s">
        <v>7</v>
      </c>
      <c r="E116" s="19" t="s">
        <v>93</v>
      </c>
      <c r="F116" s="3">
        <v>1174.845</v>
      </c>
      <c r="G116" s="11">
        <f>$F116*Daspalla_22!H116</f>
        <v>1622.4609450000003</v>
      </c>
      <c r="H116" s="11">
        <f>$F116*Daspalla_22!I116</f>
        <v>1422.2673570000004</v>
      </c>
      <c r="I116" s="11">
        <f>$F116*Daspalla_22!J116</f>
        <v>1189.6480470000006</v>
      </c>
      <c r="J116" s="11">
        <f>$F116*Daspalla_22!K116</f>
        <v>948.92230650000056</v>
      </c>
      <c r="K116" s="11">
        <f>$F116*Daspalla_22!L116</f>
        <v>667.66441350000059</v>
      </c>
      <c r="L116" s="11">
        <f>$F116*Daspalla_22!M116</f>
        <v>2055.9787500000002</v>
      </c>
      <c r="M116" s="11">
        <f>$F116*Daspalla_22!N116</f>
        <v>2055.9787500000002</v>
      </c>
      <c r="N116" s="11">
        <f>$F116*Daspalla_22!O116</f>
        <v>2055.9787500000002</v>
      </c>
      <c r="O116" s="11">
        <f>$F116*Daspalla_22!P116</f>
        <v>2055.9787500000002</v>
      </c>
      <c r="P116" s="11">
        <f>$F116*Daspalla_22!Q116</f>
        <v>2055.9787500000002</v>
      </c>
      <c r="Q116" s="11">
        <f>$F116*Daspalla_22!R116</f>
        <v>1905.4811055000002</v>
      </c>
      <c r="R116" s="11">
        <f>$F116*Daspalla_22!S116</f>
        <v>1771.9012290000003</v>
      </c>
      <c r="S116" s="8" t="s">
        <v>76</v>
      </c>
      <c r="T116" s="21">
        <v>407010304130201</v>
      </c>
    </row>
    <row r="117" spans="1:20" x14ac:dyDescent="0.25">
      <c r="A117" s="8">
        <v>114</v>
      </c>
      <c r="B117" s="8">
        <v>20.403600000000001</v>
      </c>
      <c r="C117" s="8">
        <v>84.664000000000001</v>
      </c>
      <c r="D117" s="3" t="s">
        <v>7</v>
      </c>
      <c r="E117" s="19" t="s">
        <v>93</v>
      </c>
      <c r="F117" s="3">
        <v>3102.9259999999999</v>
      </c>
      <c r="G117" s="11">
        <f>$F117*Daspalla_22!H117</f>
        <v>4285.1408060000003</v>
      </c>
      <c r="H117" s="11">
        <f>$F117*Daspalla_22!I117</f>
        <v>3756.402215600001</v>
      </c>
      <c r="I117" s="11">
        <f>$F117*Daspalla_22!J117</f>
        <v>3142.0228676000011</v>
      </c>
      <c r="J117" s="11">
        <f>$F117*Daspalla_22!K117</f>
        <v>2506.2333302000011</v>
      </c>
      <c r="K117" s="11">
        <f>$F117*Daspalla_22!L117</f>
        <v>1763.3928458000014</v>
      </c>
      <c r="L117" s="11">
        <f>$F117*Daspalla_22!M117</f>
        <v>5430.1205</v>
      </c>
      <c r="M117" s="11">
        <f>$F117*Daspalla_22!N117</f>
        <v>5430.1205</v>
      </c>
      <c r="N117" s="11">
        <f>$F117*Daspalla_22!O117</f>
        <v>5430.1205</v>
      </c>
      <c r="O117" s="11">
        <f>$F117*Daspalla_22!P117</f>
        <v>5430.1205</v>
      </c>
      <c r="P117" s="11">
        <f>$F117*Daspalla_22!Q117</f>
        <v>5430.1205</v>
      </c>
      <c r="Q117" s="11">
        <f>$F117*Daspalla_22!R117</f>
        <v>5032.6356794000003</v>
      </c>
      <c r="R117" s="11">
        <f>$F117*Daspalla_22!S117</f>
        <v>4679.8329932000006</v>
      </c>
      <c r="S117" s="8" t="s">
        <v>76</v>
      </c>
      <c r="T117" s="21">
        <v>407010304130201</v>
      </c>
    </row>
    <row r="118" spans="1:20" x14ac:dyDescent="0.25">
      <c r="A118" s="8">
        <v>115</v>
      </c>
      <c r="B118" s="8">
        <v>20.403099999999998</v>
      </c>
      <c r="C118" s="8">
        <v>84.663600000000002</v>
      </c>
      <c r="D118" s="3" t="s">
        <v>7</v>
      </c>
      <c r="E118" s="19" t="s">
        <v>93</v>
      </c>
      <c r="F118" s="3">
        <v>2262.846</v>
      </c>
      <c r="G118" s="11">
        <f>$F118*Daspalla_22!H118</f>
        <v>3124.9903260000006</v>
      </c>
      <c r="H118" s="11">
        <f>$F118*Daspalla_22!I118</f>
        <v>2739.4013676000009</v>
      </c>
      <c r="I118" s="11">
        <f>$F118*Daspalla_22!J118</f>
        <v>2291.3578596000007</v>
      </c>
      <c r="J118" s="11">
        <f>$F118*Daspalla_22!K118</f>
        <v>1827.7007142000009</v>
      </c>
      <c r="K118" s="11">
        <f>$F118*Daspalla_22!L118</f>
        <v>1285.9753818000011</v>
      </c>
      <c r="L118" s="11">
        <f>$F118*Daspalla_22!M118</f>
        <v>3959.9805000000001</v>
      </c>
      <c r="M118" s="11">
        <f>$F118*Daspalla_22!N118</f>
        <v>3959.9805000000001</v>
      </c>
      <c r="N118" s="11">
        <f>$F118*Daspalla_22!O118</f>
        <v>3959.9805000000001</v>
      </c>
      <c r="O118" s="11">
        <f>$F118*Daspalla_22!P118</f>
        <v>3959.9805000000001</v>
      </c>
      <c r="P118" s="11">
        <f>$F118*Daspalla_22!Q118</f>
        <v>3959.9805000000001</v>
      </c>
      <c r="Q118" s="11">
        <f>$F118*Daspalla_22!R118</f>
        <v>3670.1099274000003</v>
      </c>
      <c r="R118" s="11">
        <f>$F118*Daspalla_22!S118</f>
        <v>3412.8243372000006</v>
      </c>
      <c r="S118" s="8" t="s">
        <v>76</v>
      </c>
      <c r="T118" s="21">
        <v>407010304130201</v>
      </c>
    </row>
    <row r="119" spans="1:20" x14ac:dyDescent="0.25">
      <c r="A119" s="8">
        <v>116</v>
      </c>
      <c r="B119" s="8">
        <v>20.401900000000001</v>
      </c>
      <c r="C119" s="8">
        <v>84.664299999999997</v>
      </c>
      <c r="D119" s="3" t="s">
        <v>7</v>
      </c>
      <c r="E119" s="19" t="s">
        <v>93</v>
      </c>
      <c r="F119" s="3">
        <v>2663.596</v>
      </c>
      <c r="G119" s="11">
        <f>$F119*Daspalla_22!H119</f>
        <v>3678.4260760000006</v>
      </c>
      <c r="H119" s="11">
        <f>$F119*Daspalla_22!I119</f>
        <v>3224.5493176000009</v>
      </c>
      <c r="I119" s="11">
        <f>$F119*Daspalla_22!J119</f>
        <v>2697.1573096000011</v>
      </c>
      <c r="J119" s="11">
        <f>$F119*Daspalla_22!K119</f>
        <v>2151.3864892000011</v>
      </c>
      <c r="K119" s="11">
        <f>$F119*Daspalla_22!L119</f>
        <v>1513.7216068000012</v>
      </c>
      <c r="L119" s="11">
        <f>$F119*Daspalla_22!M119</f>
        <v>4661.2929999999997</v>
      </c>
      <c r="M119" s="11">
        <f>$F119*Daspalla_22!N119</f>
        <v>4661.2929999999997</v>
      </c>
      <c r="N119" s="11">
        <f>$F119*Daspalla_22!O119</f>
        <v>4661.2929999999997</v>
      </c>
      <c r="O119" s="11">
        <f>$F119*Daspalla_22!P119</f>
        <v>4661.2929999999997</v>
      </c>
      <c r="P119" s="11">
        <f>$F119*Daspalla_22!Q119</f>
        <v>4661.2929999999997</v>
      </c>
      <c r="Q119" s="11">
        <f>$F119*Daspalla_22!R119</f>
        <v>4320.0863524000006</v>
      </c>
      <c r="R119" s="11">
        <f>$F119*Daspalla_22!S119</f>
        <v>4017.2354872000005</v>
      </c>
      <c r="S119" s="8" t="s">
        <v>76</v>
      </c>
      <c r="T119" s="21">
        <v>407010304130201</v>
      </c>
    </row>
    <row r="120" spans="1:20" x14ac:dyDescent="0.25">
      <c r="A120" s="8">
        <v>117</v>
      </c>
      <c r="B120" s="8">
        <v>20.3903</v>
      </c>
      <c r="C120" s="8">
        <v>84.666700000000006</v>
      </c>
      <c r="D120" s="3" t="s">
        <v>7</v>
      </c>
      <c r="E120" s="19" t="s">
        <v>93</v>
      </c>
      <c r="F120" s="3">
        <v>3538.5189999999998</v>
      </c>
      <c r="G120" s="11">
        <f>$F120*Daspalla_22!H120</f>
        <v>8425.2137389999989</v>
      </c>
      <c r="H120" s="11">
        <f>$F120*Daspalla_22!I120</f>
        <v>7822.250101399999</v>
      </c>
      <c r="I120" s="11">
        <f>$F120*Daspalla_22!J120</f>
        <v>7121.6233393999992</v>
      </c>
      <c r="J120" s="11">
        <f>$F120*Daspalla_22!K120</f>
        <v>6396.5807962999988</v>
      </c>
      <c r="K120" s="11">
        <f>$F120*Daspalla_22!L120</f>
        <v>5549.4593476999989</v>
      </c>
      <c r="L120" s="11">
        <f>$F120*Daspalla_22!M120</f>
        <v>9730.9272499999988</v>
      </c>
      <c r="M120" s="11">
        <f>$F120*Daspalla_22!N120</f>
        <v>9730.9272499999988</v>
      </c>
      <c r="N120" s="11">
        <f>$F120*Daspalla_22!O120</f>
        <v>9730.9272499999988</v>
      </c>
      <c r="O120" s="11">
        <f>$F120*Daspalla_22!P120</f>
        <v>9730.9272499999988</v>
      </c>
      <c r="P120" s="11">
        <f>$F120*Daspalla_22!Q120</f>
        <v>9730.9272499999988</v>
      </c>
      <c r="Q120" s="11">
        <f>$F120*Daspalla_22!R120</f>
        <v>9277.6429661000002</v>
      </c>
      <c r="R120" s="11">
        <f>$F120*Daspalla_22!S120</f>
        <v>8875.313355799999</v>
      </c>
      <c r="S120" s="8" t="s">
        <v>82</v>
      </c>
      <c r="T120" s="21">
        <v>407010304130202</v>
      </c>
    </row>
    <row r="121" spans="1:20" x14ac:dyDescent="0.25">
      <c r="A121" s="8">
        <v>118</v>
      </c>
      <c r="B121" s="8">
        <v>20.389500000000002</v>
      </c>
      <c r="C121" s="8">
        <v>84.667500000000004</v>
      </c>
      <c r="D121" s="3" t="s">
        <v>7</v>
      </c>
      <c r="E121" s="19" t="s">
        <v>93</v>
      </c>
      <c r="F121" s="3">
        <v>1133.7</v>
      </c>
      <c r="G121" s="11">
        <f>$F121*Daspalla_22!H121</f>
        <v>1565.6397000000004</v>
      </c>
      <c r="H121" s="11">
        <f>$F121*Daspalla_22!I121</f>
        <v>1372.4572200000005</v>
      </c>
      <c r="I121" s="11">
        <f>$F121*Daspalla_22!J121</f>
        <v>1147.9846200000004</v>
      </c>
      <c r="J121" s="11">
        <f>$F121*Daspalla_22!K121</f>
        <v>915.68949000000055</v>
      </c>
      <c r="K121" s="11">
        <f>$F121*Daspalla_22!L121</f>
        <v>644.28171000000054</v>
      </c>
      <c r="L121" s="11">
        <f>$F121*Daspalla_22!M121</f>
        <v>1983.9750000000001</v>
      </c>
      <c r="M121" s="11">
        <f>$F121*Daspalla_22!N121</f>
        <v>1983.9750000000001</v>
      </c>
      <c r="N121" s="11">
        <f>$F121*Daspalla_22!O121</f>
        <v>1983.9750000000001</v>
      </c>
      <c r="O121" s="11">
        <f>$F121*Daspalla_22!P121</f>
        <v>1983.9750000000001</v>
      </c>
      <c r="P121" s="11">
        <f>$F121*Daspalla_22!Q121</f>
        <v>1983.9750000000001</v>
      </c>
      <c r="Q121" s="11">
        <f>$F121*Daspalla_22!R121</f>
        <v>1838.7480300000002</v>
      </c>
      <c r="R121" s="11">
        <f>$F121*Daspalla_22!S121</f>
        <v>1709.8463400000003</v>
      </c>
      <c r="S121" s="8" t="s">
        <v>82</v>
      </c>
      <c r="T121" s="21">
        <v>407010304130202</v>
      </c>
    </row>
    <row r="122" spans="1:20" x14ac:dyDescent="0.25">
      <c r="A122" s="8">
        <v>119</v>
      </c>
      <c r="B122" s="8">
        <v>20.389399999999998</v>
      </c>
      <c r="C122" s="8">
        <v>84.669499999999999</v>
      </c>
      <c r="D122" s="3" t="s">
        <v>7</v>
      </c>
      <c r="E122" s="19" t="s">
        <v>93</v>
      </c>
      <c r="F122" s="3">
        <v>816.76199999999994</v>
      </c>
      <c r="G122" s="11">
        <f>$F122*Daspalla_22!H122</f>
        <v>1127.9483220000002</v>
      </c>
      <c r="H122" s="11">
        <f>$F122*Daspalla_22!I122</f>
        <v>988.77207720000024</v>
      </c>
      <c r="I122" s="11">
        <f>$F122*Daspalla_22!J122</f>
        <v>827.05320120000022</v>
      </c>
      <c r="J122" s="11">
        <f>$F122*Daspalla_22!K122</f>
        <v>659.69866740000032</v>
      </c>
      <c r="K122" s="11">
        <f>$F122*Daspalla_22!L122</f>
        <v>464.16584460000036</v>
      </c>
      <c r="L122" s="11">
        <f>$F122*Daspalla_22!M122</f>
        <v>1429.3335</v>
      </c>
      <c r="M122" s="11">
        <f>$F122*Daspalla_22!N122</f>
        <v>1429.3335</v>
      </c>
      <c r="N122" s="11">
        <f>$F122*Daspalla_22!O122</f>
        <v>1429.3335</v>
      </c>
      <c r="O122" s="11">
        <f>$F122*Daspalla_22!P122</f>
        <v>1429.3335</v>
      </c>
      <c r="P122" s="11">
        <f>$F122*Daspalla_22!Q122</f>
        <v>1429.3335</v>
      </c>
      <c r="Q122" s="11">
        <f>$F122*Daspalla_22!R122</f>
        <v>1324.7062877999999</v>
      </c>
      <c r="R122" s="11">
        <f>$F122*Daspalla_22!S122</f>
        <v>1231.8404484</v>
      </c>
      <c r="S122" s="8" t="s">
        <v>82</v>
      </c>
      <c r="T122" s="21">
        <v>407010304130202</v>
      </c>
    </row>
    <row r="123" spans="1:20" x14ac:dyDescent="0.25">
      <c r="A123" s="8">
        <v>120</v>
      </c>
      <c r="B123" s="8">
        <v>20.3858</v>
      </c>
      <c r="C123" s="8">
        <v>84.673699999999997</v>
      </c>
      <c r="D123" s="3" t="s">
        <v>7</v>
      </c>
      <c r="E123" s="19" t="s">
        <v>93</v>
      </c>
      <c r="F123" s="3">
        <v>278.608</v>
      </c>
      <c r="G123" s="11">
        <f>$F123*Daspalla_22!H123</f>
        <v>384.75764800000007</v>
      </c>
      <c r="H123" s="11">
        <f>$F123*Daspalla_22!I123</f>
        <v>337.28284480000008</v>
      </c>
      <c r="I123" s="11">
        <f>$F123*Daspalla_22!J123</f>
        <v>282.11846080000009</v>
      </c>
      <c r="J123" s="11">
        <f>$F123*Daspalla_22!K123</f>
        <v>225.03168160000013</v>
      </c>
      <c r="K123" s="11">
        <f>$F123*Daspalla_22!L123</f>
        <v>158.33292640000013</v>
      </c>
      <c r="L123" s="11">
        <f>$F123*Daspalla_22!M123</f>
        <v>487.56400000000002</v>
      </c>
      <c r="M123" s="11">
        <f>$F123*Daspalla_22!N123</f>
        <v>487.56400000000002</v>
      </c>
      <c r="N123" s="11">
        <f>$F123*Daspalla_22!O123</f>
        <v>487.56400000000002</v>
      </c>
      <c r="O123" s="11">
        <f>$F123*Daspalla_22!P123</f>
        <v>487.56400000000002</v>
      </c>
      <c r="P123" s="11">
        <f>$F123*Daspalla_22!Q123</f>
        <v>487.56400000000002</v>
      </c>
      <c r="Q123" s="11">
        <f>$F123*Daspalla_22!R123</f>
        <v>451.87431520000001</v>
      </c>
      <c r="R123" s="11">
        <f>$F123*Daspalla_22!S123</f>
        <v>420.19658560000005</v>
      </c>
      <c r="S123" s="8" t="s">
        <v>82</v>
      </c>
      <c r="T123" s="21">
        <v>407010304130202</v>
      </c>
    </row>
    <row r="124" spans="1:20" x14ac:dyDescent="0.25">
      <c r="A124" s="8">
        <v>121</v>
      </c>
      <c r="B124" s="8">
        <v>20.3856</v>
      </c>
      <c r="C124" s="8">
        <v>84.673900000000003</v>
      </c>
      <c r="D124" s="3" t="s">
        <v>7</v>
      </c>
      <c r="E124" s="19" t="s">
        <v>93</v>
      </c>
      <c r="F124" s="3">
        <v>333.02600000000001</v>
      </c>
      <c r="G124" s="11">
        <f>$F124*Daspalla_22!H124</f>
        <v>459.90890600000012</v>
      </c>
      <c r="H124" s="11">
        <f>$F124*Daspalla_22!I124</f>
        <v>403.16127560000012</v>
      </c>
      <c r="I124" s="11">
        <f>$F124*Daspalla_22!J124</f>
        <v>337.22212760000014</v>
      </c>
      <c r="J124" s="11">
        <f>$F124*Daspalla_22!K124</f>
        <v>268.98510020000015</v>
      </c>
      <c r="K124" s="11">
        <f>$F124*Daspalla_22!L124</f>
        <v>189.25867580000016</v>
      </c>
      <c r="L124" s="11">
        <f>$F124*Daspalla_22!M124</f>
        <v>582.79550000000006</v>
      </c>
      <c r="M124" s="11">
        <f>$F124*Daspalla_22!N124</f>
        <v>582.79550000000006</v>
      </c>
      <c r="N124" s="11">
        <f>$F124*Daspalla_22!O124</f>
        <v>582.79550000000006</v>
      </c>
      <c r="O124" s="11">
        <f>$F124*Daspalla_22!P124</f>
        <v>582.79550000000006</v>
      </c>
      <c r="P124" s="11">
        <f>$F124*Daspalla_22!Q124</f>
        <v>582.79550000000006</v>
      </c>
      <c r="Q124" s="11">
        <f>$F124*Daspalla_22!R124</f>
        <v>540.13486940000007</v>
      </c>
      <c r="R124" s="11">
        <f>$F124*Daspalla_22!S124</f>
        <v>502.2698132000001</v>
      </c>
      <c r="S124" s="8" t="s">
        <v>82</v>
      </c>
      <c r="T124" s="21">
        <v>407010304130202</v>
      </c>
    </row>
    <row r="125" spans="1:20" x14ac:dyDescent="0.25">
      <c r="A125" s="8">
        <v>122</v>
      </c>
      <c r="B125" s="8">
        <v>20.387</v>
      </c>
      <c r="C125" s="8">
        <v>84.6751</v>
      </c>
      <c r="D125" s="3" t="s">
        <v>7</v>
      </c>
      <c r="E125" s="19" t="s">
        <v>93</v>
      </c>
      <c r="F125" s="3">
        <v>753.21699999999998</v>
      </c>
      <c r="G125" s="11">
        <f>$F125*Daspalla_22!H125</f>
        <v>1040.1926770000002</v>
      </c>
      <c r="H125" s="11">
        <f>$F125*Daspalla_22!I125</f>
        <v>911.8445002000002</v>
      </c>
      <c r="I125" s="11">
        <f>$F125*Daspalla_22!J125</f>
        <v>762.70753420000028</v>
      </c>
      <c r="J125" s="11">
        <f>$F125*Daspalla_22!K125</f>
        <v>608.37337090000028</v>
      </c>
      <c r="K125" s="11">
        <f>$F125*Daspalla_22!L125</f>
        <v>428.05322110000037</v>
      </c>
      <c r="L125" s="11">
        <f>$F125*Daspalla_22!M125</f>
        <v>1318.1297500000001</v>
      </c>
      <c r="M125" s="11">
        <f>$F125*Daspalla_22!N125</f>
        <v>1318.1297500000001</v>
      </c>
      <c r="N125" s="11">
        <f>$F125*Daspalla_22!O125</f>
        <v>1318.1297500000001</v>
      </c>
      <c r="O125" s="11">
        <f>$F125*Daspalla_22!P125</f>
        <v>1318.1297500000001</v>
      </c>
      <c r="P125" s="11">
        <f>$F125*Daspalla_22!Q125</f>
        <v>1318.1297500000001</v>
      </c>
      <c r="Q125" s="11">
        <f>$F125*Daspalla_22!R125</f>
        <v>1221.6426523</v>
      </c>
      <c r="R125" s="11">
        <f>$F125*Daspalla_22!S125</f>
        <v>1136.0018794000002</v>
      </c>
      <c r="S125" s="8" t="s">
        <v>82</v>
      </c>
      <c r="T125" s="21">
        <v>407010304130202</v>
      </c>
    </row>
    <row r="126" spans="1:20" x14ac:dyDescent="0.25">
      <c r="A126" s="8">
        <v>123</v>
      </c>
      <c r="B126" s="8">
        <v>20.391200000000001</v>
      </c>
      <c r="C126" s="8">
        <v>84.675299999999993</v>
      </c>
      <c r="D126" s="3" t="s">
        <v>7</v>
      </c>
      <c r="E126" s="19" t="s">
        <v>93</v>
      </c>
      <c r="F126" s="3">
        <v>1392.355</v>
      </c>
      <c r="G126" s="11">
        <f>$F126*Daspalla_22!H126</f>
        <v>3315.1972549999996</v>
      </c>
      <c r="H126" s="11">
        <f>$F126*Daspalla_22!I126</f>
        <v>3077.9399629999998</v>
      </c>
      <c r="I126" s="11">
        <f>$F126*Daspalla_22!J126</f>
        <v>2802.2536730000002</v>
      </c>
      <c r="J126" s="11">
        <f>$F126*Daspalla_22!K126</f>
        <v>2516.9601334999998</v>
      </c>
      <c r="K126" s="11">
        <f>$F126*Daspalla_22!L126</f>
        <v>2183.6303464999996</v>
      </c>
      <c r="L126" s="11">
        <f>$F126*Daspalla_22!M126</f>
        <v>3828.9762500000002</v>
      </c>
      <c r="M126" s="11">
        <f>$F126*Daspalla_22!N126</f>
        <v>3828.9762500000002</v>
      </c>
      <c r="N126" s="11">
        <f>$F126*Daspalla_22!O126</f>
        <v>3828.9762500000002</v>
      </c>
      <c r="O126" s="11">
        <f>$F126*Daspalla_22!P126</f>
        <v>3828.9762500000002</v>
      </c>
      <c r="P126" s="11">
        <f>$F126*Daspalla_22!Q126</f>
        <v>3828.9762500000002</v>
      </c>
      <c r="Q126" s="11">
        <f>$F126*Daspalla_22!R126</f>
        <v>3650.6155745000001</v>
      </c>
      <c r="R126" s="11">
        <f>$F126*Daspalla_22!S126</f>
        <v>3492.304811</v>
      </c>
      <c r="S126" s="8" t="s">
        <v>82</v>
      </c>
      <c r="T126" s="21">
        <v>407010304130202</v>
      </c>
    </row>
    <row r="127" spans="1:20" x14ac:dyDescent="0.25">
      <c r="A127" s="8">
        <v>124</v>
      </c>
      <c r="B127" s="8">
        <v>20.392099999999999</v>
      </c>
      <c r="C127" s="8">
        <v>84.6708</v>
      </c>
      <c r="D127" s="3" t="s">
        <v>7</v>
      </c>
      <c r="E127" s="19" t="s">
        <v>93</v>
      </c>
      <c r="F127" s="3">
        <v>1338.2280000000001</v>
      </c>
      <c r="G127" s="11">
        <f>$F127*Daspalla_22!H127</f>
        <v>1848.0928680000004</v>
      </c>
      <c r="H127" s="11">
        <f>$F127*Daspalla_22!I127</f>
        <v>1620.0588168000006</v>
      </c>
      <c r="I127" s="11">
        <f>$F127*Daspalla_22!J127</f>
        <v>1355.0896728000007</v>
      </c>
      <c r="J127" s="11">
        <f>$F127*Daspalla_22!K127</f>
        <v>1080.8867556000007</v>
      </c>
      <c r="K127" s="11">
        <f>$F127*Daspalla_22!L127</f>
        <v>760.51497240000072</v>
      </c>
      <c r="L127" s="11">
        <f>$F127*Daspalla_22!M127</f>
        <v>2341.8990000000003</v>
      </c>
      <c r="M127" s="11">
        <f>$F127*Daspalla_22!N127</f>
        <v>2341.8990000000003</v>
      </c>
      <c r="N127" s="11">
        <f>$F127*Daspalla_22!O127</f>
        <v>2341.8990000000003</v>
      </c>
      <c r="O127" s="11">
        <f>$F127*Daspalla_22!P127</f>
        <v>2341.8990000000003</v>
      </c>
      <c r="P127" s="11">
        <f>$F127*Daspalla_22!Q127</f>
        <v>2341.8990000000003</v>
      </c>
      <c r="Q127" s="11">
        <f>$F127*Daspalla_22!R127</f>
        <v>2170.4719932000003</v>
      </c>
      <c r="R127" s="11">
        <f>$F127*Daspalla_22!S127</f>
        <v>2018.3154696000004</v>
      </c>
      <c r="S127" s="8" t="s">
        <v>82</v>
      </c>
      <c r="T127" s="21">
        <v>407010304130202</v>
      </c>
    </row>
    <row r="128" spans="1:20" x14ac:dyDescent="0.25">
      <c r="A128" s="8">
        <v>125</v>
      </c>
      <c r="B128" s="8">
        <v>20.406600000000001</v>
      </c>
      <c r="C128" s="8">
        <v>84.669600000000003</v>
      </c>
      <c r="D128" s="3" t="s">
        <v>7</v>
      </c>
      <c r="E128" s="19" t="s">
        <v>93</v>
      </c>
      <c r="F128" s="3">
        <v>2022.2629999999999</v>
      </c>
      <c r="G128" s="11">
        <f>$F128*Daspalla_22!H128</f>
        <v>6837.2712029999993</v>
      </c>
      <c r="H128" s="11">
        <f>$F128*Daspalla_22!I128</f>
        <v>6492.6775877999999</v>
      </c>
      <c r="I128" s="11">
        <f>$F128*Daspalla_22!J128</f>
        <v>6092.2695137999999</v>
      </c>
      <c r="J128" s="11">
        <f>$F128*Daspalla_22!K128</f>
        <v>5677.9078251000001</v>
      </c>
      <c r="K128" s="11">
        <f>$F128*Daspalla_22!L128</f>
        <v>5193.7780628999999</v>
      </c>
      <c r="L128" s="11">
        <f>$F128*Daspalla_22!M128</f>
        <v>7583.4862499999999</v>
      </c>
      <c r="M128" s="11">
        <f>$F128*Daspalla_22!N128</f>
        <v>7583.4862499999999</v>
      </c>
      <c r="N128" s="11">
        <f>$F128*Daspalla_22!O128</f>
        <v>7583.4862499999999</v>
      </c>
      <c r="O128" s="11">
        <f>$F128*Daspalla_22!P128</f>
        <v>7583.4862499999999</v>
      </c>
      <c r="P128" s="11">
        <f>$F128*Daspalla_22!Q128</f>
        <v>7583.4862499999999</v>
      </c>
      <c r="Q128" s="11">
        <f>$F128*Daspalla_22!R128</f>
        <v>7324.4343596999997</v>
      </c>
      <c r="R128" s="11">
        <f>$F128*Daspalla_22!S128</f>
        <v>7094.5030565999996</v>
      </c>
      <c r="S128" s="8" t="s">
        <v>82</v>
      </c>
      <c r="T128" s="21">
        <v>407010304130202</v>
      </c>
    </row>
    <row r="129" spans="1:20" x14ac:dyDescent="0.25">
      <c r="A129" s="8">
        <v>126</v>
      </c>
      <c r="B129" s="8">
        <v>20.409800000000001</v>
      </c>
      <c r="C129" s="8">
        <v>84.672399999999996</v>
      </c>
      <c r="D129" s="3" t="s">
        <v>7</v>
      </c>
      <c r="E129" s="19" t="s">
        <v>93</v>
      </c>
      <c r="F129" s="3">
        <v>3198.252</v>
      </c>
      <c r="G129" s="11">
        <f>$F129*Daspalla_22!H129</f>
        <v>7615.0380119999991</v>
      </c>
      <c r="H129" s="11">
        <f>$F129*Daspalla_22!I129</f>
        <v>7070.0558711999993</v>
      </c>
      <c r="I129" s="11">
        <f>$F129*Daspalla_22!J129</f>
        <v>6436.8019752</v>
      </c>
      <c r="J129" s="11">
        <f>$F129*Daspalla_22!K129</f>
        <v>5781.4801403999991</v>
      </c>
      <c r="K129" s="11">
        <f>$F129*Daspalla_22!L129</f>
        <v>5015.8186115999997</v>
      </c>
      <c r="L129" s="11">
        <f>$F129*Daspalla_22!M129</f>
        <v>8795.1929999999993</v>
      </c>
      <c r="M129" s="11">
        <f>$F129*Daspalla_22!N129</f>
        <v>8795.1929999999993</v>
      </c>
      <c r="N129" s="11">
        <f>$F129*Daspalla_22!O129</f>
        <v>8795.1929999999993</v>
      </c>
      <c r="O129" s="11">
        <f>$F129*Daspalla_22!P129</f>
        <v>8795.1929999999993</v>
      </c>
      <c r="P129" s="11">
        <f>$F129*Daspalla_22!Q129</f>
        <v>8795.1929999999993</v>
      </c>
      <c r="Q129" s="11">
        <f>$F129*Daspalla_22!R129</f>
        <v>8385.4969187999995</v>
      </c>
      <c r="R129" s="11">
        <f>$F129*Daspalla_22!S129</f>
        <v>8021.8556663999998</v>
      </c>
      <c r="S129" s="8" t="s">
        <v>82</v>
      </c>
      <c r="T129" s="21">
        <v>407010304130202</v>
      </c>
    </row>
    <row r="130" spans="1:20" x14ac:dyDescent="0.25">
      <c r="A130" s="8">
        <v>127</v>
      </c>
      <c r="B130" s="8">
        <v>20.406700000000001</v>
      </c>
      <c r="C130" s="8">
        <v>84.674499999999995</v>
      </c>
      <c r="D130" s="3" t="s">
        <v>7</v>
      </c>
      <c r="E130" s="19" t="s">
        <v>93</v>
      </c>
      <c r="F130" s="3">
        <v>1508.4449999999999</v>
      </c>
      <c r="G130" s="11">
        <f>$F130*Daspalla_22!H130</f>
        <v>3591.6075449999994</v>
      </c>
      <c r="H130" s="11">
        <f>$F130*Daspalla_22!I130</f>
        <v>3334.5685169999997</v>
      </c>
      <c r="I130" s="11">
        <f>$F130*Daspalla_22!J130</f>
        <v>3035.8964069999997</v>
      </c>
      <c r="J130" s="11">
        <f>$F130*Daspalla_22!K130</f>
        <v>2726.8160264999997</v>
      </c>
      <c r="K130" s="11">
        <f>$F130*Daspalla_22!L130</f>
        <v>2365.6942934999997</v>
      </c>
      <c r="L130" s="11">
        <f>$F130*Daspalla_22!M130</f>
        <v>4148.2237500000001</v>
      </c>
      <c r="M130" s="11">
        <f>$F130*Daspalla_22!N130</f>
        <v>4148.2237500000001</v>
      </c>
      <c r="N130" s="11">
        <f>$F130*Daspalla_22!O130</f>
        <v>4148.2237500000001</v>
      </c>
      <c r="O130" s="11">
        <f>$F130*Daspalla_22!P130</f>
        <v>4148.2237500000001</v>
      </c>
      <c r="P130" s="11">
        <f>$F130*Daspalla_22!Q130</f>
        <v>4148.2237500000001</v>
      </c>
      <c r="Q130" s="11">
        <f>$F130*Daspalla_22!R130</f>
        <v>3954.9919454999999</v>
      </c>
      <c r="R130" s="11">
        <f>$F130*Daspalla_22!S130</f>
        <v>3783.481749</v>
      </c>
      <c r="S130" s="8" t="s">
        <v>82</v>
      </c>
      <c r="T130" s="21">
        <v>407010304130202</v>
      </c>
    </row>
    <row r="131" spans="1:20" x14ac:dyDescent="0.25">
      <c r="A131" s="8">
        <v>128</v>
      </c>
      <c r="B131" s="8">
        <v>20.388500000000001</v>
      </c>
      <c r="C131" s="8">
        <v>84.6798</v>
      </c>
      <c r="D131" s="3" t="s">
        <v>7</v>
      </c>
      <c r="E131" s="19" t="s">
        <v>93</v>
      </c>
      <c r="F131" s="3">
        <v>297.97300000000001</v>
      </c>
      <c r="G131" s="11">
        <f>$F131*Daspalla_22!H131</f>
        <v>411.50071300000008</v>
      </c>
      <c r="H131" s="11">
        <f>$F131*Daspalla_22!I131</f>
        <v>360.72611380000012</v>
      </c>
      <c r="I131" s="11">
        <f>$F131*Daspalla_22!J131</f>
        <v>301.72745980000013</v>
      </c>
      <c r="J131" s="11">
        <f>$F131*Daspalla_22!K131</f>
        <v>240.67279210000012</v>
      </c>
      <c r="K131" s="11">
        <f>$F131*Daspalla_22!L131</f>
        <v>169.33805590000014</v>
      </c>
      <c r="L131" s="11">
        <f>$F131*Daspalla_22!M131</f>
        <v>521.45275000000004</v>
      </c>
      <c r="M131" s="11">
        <f>$F131*Daspalla_22!N131</f>
        <v>521.45275000000004</v>
      </c>
      <c r="N131" s="11">
        <f>$F131*Daspalla_22!O131</f>
        <v>521.45275000000004</v>
      </c>
      <c r="O131" s="11">
        <f>$F131*Daspalla_22!P131</f>
        <v>521.45275000000004</v>
      </c>
      <c r="P131" s="11">
        <f>$F131*Daspalla_22!Q131</f>
        <v>521.45275000000004</v>
      </c>
      <c r="Q131" s="11">
        <f>$F131*Daspalla_22!R131</f>
        <v>483.28240870000008</v>
      </c>
      <c r="R131" s="11">
        <f>$F131*Daspalla_22!S131</f>
        <v>449.40287860000007</v>
      </c>
      <c r="S131" s="8" t="s">
        <v>82</v>
      </c>
      <c r="T131" s="21">
        <v>407010304130202</v>
      </c>
    </row>
    <row r="132" spans="1:20" x14ac:dyDescent="0.25">
      <c r="A132" s="8">
        <v>129</v>
      </c>
      <c r="B132" s="8">
        <v>20.401800000000001</v>
      </c>
      <c r="C132" s="8">
        <v>84.655799999999999</v>
      </c>
      <c r="D132" s="3" t="s">
        <v>7</v>
      </c>
      <c r="E132" s="19" t="s">
        <v>93</v>
      </c>
      <c r="F132" s="3">
        <v>278.24099999999999</v>
      </c>
      <c r="G132" s="11">
        <f>$F132*Daspalla_22!H132</f>
        <v>384.25082100000003</v>
      </c>
      <c r="H132" s="11">
        <f>$F132*Daspalla_22!I132</f>
        <v>336.83855460000007</v>
      </c>
      <c r="I132" s="11">
        <f>$F132*Daspalla_22!J132</f>
        <v>281.74683660000011</v>
      </c>
      <c r="J132" s="11">
        <f>$F132*Daspalla_22!K132</f>
        <v>224.7352557000001</v>
      </c>
      <c r="K132" s="11">
        <f>$F132*Daspalla_22!L132</f>
        <v>158.12436030000012</v>
      </c>
      <c r="L132" s="11">
        <f>$F132*Daspalla_22!M132</f>
        <v>486.92174999999997</v>
      </c>
      <c r="M132" s="11">
        <f>$F132*Daspalla_22!N132</f>
        <v>486.92174999999997</v>
      </c>
      <c r="N132" s="11">
        <f>$F132*Daspalla_22!O132</f>
        <v>486.92174999999997</v>
      </c>
      <c r="O132" s="11">
        <f>$F132*Daspalla_22!P132</f>
        <v>486.92174999999997</v>
      </c>
      <c r="P132" s="11">
        <f>$F132*Daspalla_22!Q132</f>
        <v>486.92174999999997</v>
      </c>
      <c r="Q132" s="11">
        <f>$F132*Daspalla_22!R132</f>
        <v>451.2790779</v>
      </c>
      <c r="R132" s="11">
        <f>$F132*Daspalla_22!S132</f>
        <v>419.64307620000005</v>
      </c>
      <c r="S132" s="8" t="s">
        <v>76</v>
      </c>
      <c r="T132" s="21">
        <v>407010304130201</v>
      </c>
    </row>
    <row r="133" spans="1:20" x14ac:dyDescent="0.25">
      <c r="A133" s="8">
        <v>130</v>
      </c>
      <c r="B133" s="8">
        <v>20.373100000000001</v>
      </c>
      <c r="C133" s="8">
        <v>84.653899999999993</v>
      </c>
      <c r="D133" s="3" t="s">
        <v>7</v>
      </c>
      <c r="E133" s="19" t="s">
        <v>93</v>
      </c>
      <c r="F133" s="3">
        <v>1289.8489999999999</v>
      </c>
      <c r="G133" s="11">
        <f>$F133*Daspalla_22!H133</f>
        <v>3071.1304689999997</v>
      </c>
      <c r="H133" s="11">
        <f>$F133*Daspalla_22!I133</f>
        <v>2851.3401993999996</v>
      </c>
      <c r="I133" s="11">
        <f>$F133*Daspalla_22!J133</f>
        <v>2595.9500973999998</v>
      </c>
      <c r="J133" s="11">
        <f>$F133*Daspalla_22!K133</f>
        <v>2331.6600372999997</v>
      </c>
      <c r="K133" s="11">
        <f>$F133*Daspalla_22!L133</f>
        <v>2022.8701866999997</v>
      </c>
      <c r="L133" s="11">
        <f>$F133*Daspalla_22!M133</f>
        <v>3547.08475</v>
      </c>
      <c r="M133" s="11">
        <f>$F133*Daspalla_22!N133</f>
        <v>3547.08475</v>
      </c>
      <c r="N133" s="11">
        <f>$F133*Daspalla_22!O133</f>
        <v>3547.08475</v>
      </c>
      <c r="O133" s="11">
        <f>$F133*Daspalla_22!P133</f>
        <v>3547.08475</v>
      </c>
      <c r="P133" s="11">
        <f>$F133*Daspalla_22!Q133</f>
        <v>3547.08475</v>
      </c>
      <c r="Q133" s="11">
        <f>$F133*Daspalla_22!R133</f>
        <v>3381.8550931</v>
      </c>
      <c r="R133" s="11">
        <f>$F133*Daspalla_22!S133</f>
        <v>3235.1992617999999</v>
      </c>
      <c r="S133" s="8" t="s">
        <v>89</v>
      </c>
      <c r="T133" s="21">
        <v>407010304160202</v>
      </c>
    </row>
    <row r="134" spans="1:20" x14ac:dyDescent="0.25">
      <c r="A134" s="8">
        <v>131</v>
      </c>
      <c r="B134" s="8">
        <v>20.3733</v>
      </c>
      <c r="C134" s="8">
        <v>84.654799999999994</v>
      </c>
      <c r="D134" s="3" t="s">
        <v>7</v>
      </c>
      <c r="E134" s="19" t="s">
        <v>93</v>
      </c>
      <c r="F134" s="3">
        <v>1368.011</v>
      </c>
      <c r="G134" s="11">
        <f>$F134*Daspalla_22!H134</f>
        <v>3257.2341909999996</v>
      </c>
      <c r="H134" s="11">
        <f>$F134*Daspalla_22!I134</f>
        <v>3024.1251165999997</v>
      </c>
      <c r="I134" s="11">
        <f>$F134*Daspalla_22!J134</f>
        <v>2753.2589386</v>
      </c>
      <c r="J134" s="11">
        <f>$F134*Daspalla_22!K134</f>
        <v>2472.9534846999995</v>
      </c>
      <c r="K134" s="11">
        <f>$F134*Daspalla_22!L134</f>
        <v>2145.4516512999999</v>
      </c>
      <c r="L134" s="11">
        <f>$F134*Daspalla_22!M134</f>
        <v>3762.0302499999998</v>
      </c>
      <c r="M134" s="11">
        <f>$F134*Daspalla_22!N134</f>
        <v>3762.0302499999998</v>
      </c>
      <c r="N134" s="11">
        <f>$F134*Daspalla_22!O134</f>
        <v>3762.0302499999998</v>
      </c>
      <c r="O134" s="11">
        <f>$F134*Daspalla_22!P134</f>
        <v>3762.0302499999998</v>
      </c>
      <c r="P134" s="11">
        <f>$F134*Daspalla_22!Q134</f>
        <v>3762.0302499999998</v>
      </c>
      <c r="Q134" s="11">
        <f>$F134*Daspalla_22!R134</f>
        <v>3586.7880408999999</v>
      </c>
      <c r="R134" s="11">
        <f>$F134*Daspalla_22!S134</f>
        <v>3431.2451901999998</v>
      </c>
      <c r="S134" s="8" t="s">
        <v>89</v>
      </c>
      <c r="T134" s="21">
        <v>407010304160202</v>
      </c>
    </row>
    <row r="135" spans="1:20" x14ac:dyDescent="0.25">
      <c r="A135" s="8">
        <v>132</v>
      </c>
      <c r="B135" s="8">
        <v>20.373100000000001</v>
      </c>
      <c r="C135" s="8">
        <v>84.662599999999998</v>
      </c>
      <c r="D135" s="3" t="s">
        <v>7</v>
      </c>
      <c r="E135" s="19" t="s">
        <v>93</v>
      </c>
      <c r="F135" s="3">
        <v>1261.58</v>
      </c>
      <c r="G135" s="11">
        <f>$F135*Daspalla_22!H135</f>
        <v>3003.8219799999997</v>
      </c>
      <c r="H135" s="11">
        <f>$F135*Daspalla_22!I135</f>
        <v>2788.8487479999999</v>
      </c>
      <c r="I135" s="11">
        <f>$F135*Daspalla_22!J135</f>
        <v>2539.0559079999998</v>
      </c>
      <c r="J135" s="11">
        <f>$F135*Daspalla_22!K135</f>
        <v>2280.5581659999998</v>
      </c>
      <c r="K135" s="11">
        <f>$F135*Daspalla_22!L135</f>
        <v>1978.5359139999996</v>
      </c>
      <c r="L135" s="11">
        <f>$F135*Daspalla_22!M135</f>
        <v>3469.3449999999998</v>
      </c>
      <c r="M135" s="11">
        <f>$F135*Daspalla_22!N135</f>
        <v>3469.3449999999998</v>
      </c>
      <c r="N135" s="11">
        <f>$F135*Daspalla_22!O135</f>
        <v>3469.3449999999998</v>
      </c>
      <c r="O135" s="11">
        <f>$F135*Daspalla_22!P135</f>
        <v>3469.3449999999998</v>
      </c>
      <c r="P135" s="11">
        <f>$F135*Daspalla_22!Q135</f>
        <v>3469.3449999999998</v>
      </c>
      <c r="Q135" s="11">
        <f>$F135*Daspalla_22!R135</f>
        <v>3307.7366019999999</v>
      </c>
      <c r="R135" s="11">
        <f>$F135*Daspalla_22!S135</f>
        <v>3164.2949559999997</v>
      </c>
      <c r="S135" s="8" t="s">
        <v>89</v>
      </c>
      <c r="T135" s="21">
        <v>407010304160202</v>
      </c>
    </row>
    <row r="136" spans="1:20" x14ac:dyDescent="0.25">
      <c r="A136" s="8">
        <v>133</v>
      </c>
      <c r="B136" s="8">
        <v>20.357299999999999</v>
      </c>
      <c r="C136" s="8">
        <v>84.648200000000003</v>
      </c>
      <c r="D136" s="3" t="s">
        <v>7</v>
      </c>
      <c r="E136" s="19" t="s">
        <v>93</v>
      </c>
      <c r="F136" s="3">
        <v>611.82799999999997</v>
      </c>
      <c r="G136" s="11">
        <f>$F136*Daspalla_22!H136</f>
        <v>844.93446800000015</v>
      </c>
      <c r="H136" s="11">
        <f>$F136*Daspalla_22!I136</f>
        <v>740.67897680000021</v>
      </c>
      <c r="I136" s="11">
        <f>$F136*Daspalla_22!J136</f>
        <v>619.53703280000025</v>
      </c>
      <c r="J136" s="11">
        <f>$F136*Daspalla_22!K136</f>
        <v>494.17347560000024</v>
      </c>
      <c r="K136" s="11">
        <f>$F136*Daspalla_22!L136</f>
        <v>347.70185240000029</v>
      </c>
      <c r="L136" s="11">
        <f>$F136*Daspalla_22!M136</f>
        <v>1070.6990000000001</v>
      </c>
      <c r="M136" s="11">
        <f>$F136*Daspalla_22!N136</f>
        <v>1070.6990000000001</v>
      </c>
      <c r="N136" s="11">
        <f>$F136*Daspalla_22!O136</f>
        <v>1070.6990000000001</v>
      </c>
      <c r="O136" s="11">
        <f>$F136*Daspalla_22!P136</f>
        <v>1070.6990000000001</v>
      </c>
      <c r="P136" s="11">
        <f>$F136*Daspalla_22!Q136</f>
        <v>1070.6990000000001</v>
      </c>
      <c r="Q136" s="11">
        <f>$F136*Daspalla_22!R136</f>
        <v>992.32383320000008</v>
      </c>
      <c r="R136" s="11">
        <f>$F136*Daspalla_22!S136</f>
        <v>922.75898960000006</v>
      </c>
      <c r="S136" s="8" t="s">
        <v>89</v>
      </c>
      <c r="T136" s="21">
        <v>407010304160202</v>
      </c>
    </row>
    <row r="137" spans="1:20" x14ac:dyDescent="0.25">
      <c r="A137" s="8">
        <v>134</v>
      </c>
      <c r="B137" s="8">
        <v>20.3565</v>
      </c>
      <c r="C137" s="8">
        <v>84.643900000000002</v>
      </c>
      <c r="D137" s="3" t="s">
        <v>7</v>
      </c>
      <c r="E137" s="19" t="s">
        <v>93</v>
      </c>
      <c r="F137" s="3">
        <v>504.28699999999998</v>
      </c>
      <c r="G137" s="11">
        <f>$F137*Daspalla_22!H137</f>
        <v>696.42034700000011</v>
      </c>
      <c r="H137" s="11">
        <f>$F137*Daspalla_22!I137</f>
        <v>610.48984220000011</v>
      </c>
      <c r="I137" s="11">
        <f>$F137*Daspalla_22!J137</f>
        <v>510.64101620000019</v>
      </c>
      <c r="J137" s="11">
        <f>$F137*Daspalla_22!K137</f>
        <v>407.31260990000021</v>
      </c>
      <c r="K137" s="11">
        <f>$F137*Daspalla_22!L137</f>
        <v>286.58630210000024</v>
      </c>
      <c r="L137" s="11">
        <f>$F137*Daspalla_22!M137</f>
        <v>882.50225</v>
      </c>
      <c r="M137" s="11">
        <f>$F137*Daspalla_22!N137</f>
        <v>882.50225</v>
      </c>
      <c r="N137" s="11">
        <f>$F137*Daspalla_22!O137</f>
        <v>882.50225</v>
      </c>
      <c r="O137" s="11">
        <f>$F137*Daspalla_22!P137</f>
        <v>882.50225</v>
      </c>
      <c r="P137" s="11">
        <f>$F137*Daspalla_22!Q137</f>
        <v>882.50225</v>
      </c>
      <c r="Q137" s="11">
        <f>$F137*Daspalla_22!R137</f>
        <v>817.90308530000004</v>
      </c>
      <c r="R137" s="11">
        <f>$F137*Daspalla_22!S137</f>
        <v>760.56565340000009</v>
      </c>
      <c r="S137" s="8" t="s">
        <v>89</v>
      </c>
      <c r="T137" s="21">
        <v>407010304160202</v>
      </c>
    </row>
    <row r="138" spans="1:20" x14ac:dyDescent="0.25">
      <c r="A138" s="8">
        <v>135</v>
      </c>
      <c r="B138" s="8">
        <v>20.3599</v>
      </c>
      <c r="C138" s="8">
        <v>84.633399999999995</v>
      </c>
      <c r="D138" s="3" t="s">
        <v>7</v>
      </c>
      <c r="E138" s="19" t="s">
        <v>93</v>
      </c>
      <c r="F138" s="3">
        <v>2662.1039999999998</v>
      </c>
      <c r="G138" s="11">
        <f>$F138*Daspalla_22!H138</f>
        <v>6338.4696239999994</v>
      </c>
      <c r="H138" s="11">
        <f>$F138*Daspalla_22!I138</f>
        <v>5884.8471023999991</v>
      </c>
      <c r="I138" s="11">
        <f>$F138*Daspalla_22!J138</f>
        <v>5357.7505103999993</v>
      </c>
      <c r="J138" s="11">
        <f>$F138*Daspalla_22!K138</f>
        <v>4812.2854007999995</v>
      </c>
      <c r="K138" s="11">
        <f>$F138*Daspalla_22!L138</f>
        <v>4174.9777031999993</v>
      </c>
      <c r="L138" s="11">
        <f>$F138*Daspalla_22!M138</f>
        <v>7320.7859999999991</v>
      </c>
      <c r="M138" s="11">
        <f>$F138*Daspalla_22!N138</f>
        <v>7320.7859999999991</v>
      </c>
      <c r="N138" s="11">
        <f>$F138*Daspalla_22!O138</f>
        <v>7320.7859999999991</v>
      </c>
      <c r="O138" s="11">
        <f>$F138*Daspalla_22!P138</f>
        <v>7320.7859999999991</v>
      </c>
      <c r="P138" s="11">
        <f>$F138*Daspalla_22!Q138</f>
        <v>7320.7859999999991</v>
      </c>
      <c r="Q138" s="11">
        <f>$F138*Daspalla_22!R138</f>
        <v>6979.7704776</v>
      </c>
      <c r="R138" s="11">
        <f>$F138*Daspalla_22!S138</f>
        <v>6677.0892527999995</v>
      </c>
      <c r="S138" s="8" t="s">
        <v>89</v>
      </c>
      <c r="T138" s="21">
        <v>407010304160202</v>
      </c>
    </row>
    <row r="139" spans="1:20" x14ac:dyDescent="0.25">
      <c r="A139" s="8">
        <v>136</v>
      </c>
      <c r="B139" s="8">
        <v>20.336600000000001</v>
      </c>
      <c r="C139" s="8">
        <v>84.500399999999999</v>
      </c>
      <c r="D139" s="3" t="s">
        <v>7</v>
      </c>
      <c r="E139" s="19" t="s">
        <v>93</v>
      </c>
      <c r="F139" s="3">
        <v>939.43899999999996</v>
      </c>
      <c r="G139" s="11">
        <f>$F139*Daspalla_22!H139</f>
        <v>1297.3652590000002</v>
      </c>
      <c r="H139" s="11">
        <f>$F139*Daspalla_22!I139</f>
        <v>1137.2848534000002</v>
      </c>
      <c r="I139" s="11">
        <f>$F139*Daspalla_22!J139</f>
        <v>951.27593140000033</v>
      </c>
      <c r="J139" s="11">
        <f>$F139*Daspalla_22!K139</f>
        <v>758.7848803000004</v>
      </c>
      <c r="K139" s="11">
        <f>$F139*Daspalla_22!L139</f>
        <v>533.88318370000047</v>
      </c>
      <c r="L139" s="11">
        <f>$F139*Daspalla_22!M139</f>
        <v>1644.0182499999999</v>
      </c>
      <c r="M139" s="11">
        <f>$F139*Daspalla_22!N139</f>
        <v>1644.0182499999999</v>
      </c>
      <c r="N139" s="11">
        <f>$F139*Daspalla_22!O139</f>
        <v>1644.0182499999999</v>
      </c>
      <c r="O139" s="11">
        <f>$F139*Daspalla_22!P139</f>
        <v>1644.0182499999999</v>
      </c>
      <c r="P139" s="11">
        <f>$F139*Daspalla_22!Q139</f>
        <v>1644.0182499999999</v>
      </c>
      <c r="Q139" s="11">
        <f>$F139*Daspalla_22!R139</f>
        <v>1523.6761140999999</v>
      </c>
      <c r="R139" s="11">
        <f>$F139*Daspalla_22!S139</f>
        <v>1416.8618998000002</v>
      </c>
      <c r="S139" s="8" t="s">
        <v>78</v>
      </c>
      <c r="T139" s="21">
        <v>407010304070203</v>
      </c>
    </row>
    <row r="140" spans="1:20" x14ac:dyDescent="0.25">
      <c r="A140" s="8">
        <v>137</v>
      </c>
      <c r="B140" s="8">
        <v>20.345300000000002</v>
      </c>
      <c r="C140" s="8">
        <v>84.525000000000006</v>
      </c>
      <c r="D140" s="3" t="s">
        <v>7</v>
      </c>
      <c r="E140" s="19" t="s">
        <v>93</v>
      </c>
      <c r="F140" s="3">
        <v>2240.9029999999998</v>
      </c>
      <c r="G140" s="11">
        <f>$F140*Daspalla_22!H140</f>
        <v>5335.5900429999992</v>
      </c>
      <c r="H140" s="11">
        <f>$F140*Daspalla_22!I140</f>
        <v>4953.7401717999992</v>
      </c>
      <c r="I140" s="11">
        <f>$F140*Daspalla_22!J140</f>
        <v>4510.0413777999993</v>
      </c>
      <c r="J140" s="11">
        <f>$F140*Daspalla_22!K140</f>
        <v>4050.8803530999994</v>
      </c>
      <c r="K140" s="11">
        <f>$F140*Daspalla_22!L140</f>
        <v>3514.4081748999993</v>
      </c>
      <c r="L140" s="11">
        <f>$F140*Daspalla_22!M140</f>
        <v>6162.4832499999993</v>
      </c>
      <c r="M140" s="11">
        <f>$F140*Daspalla_22!N140</f>
        <v>6162.4832499999993</v>
      </c>
      <c r="N140" s="11">
        <f>$F140*Daspalla_22!O140</f>
        <v>6162.4832499999993</v>
      </c>
      <c r="O140" s="11">
        <f>$F140*Daspalla_22!P140</f>
        <v>6162.4832499999993</v>
      </c>
      <c r="P140" s="11">
        <f>$F140*Daspalla_22!Q140</f>
        <v>6162.4832499999993</v>
      </c>
      <c r="Q140" s="11">
        <f>$F140*Daspalla_22!R140</f>
        <v>5875.4235756999997</v>
      </c>
      <c r="R140" s="11">
        <f>$F140*Daspalla_22!S140</f>
        <v>5620.6329045999992</v>
      </c>
      <c r="S140" s="8" t="s">
        <v>88</v>
      </c>
      <c r="T140" s="21">
        <v>407010304140104</v>
      </c>
    </row>
    <row r="141" spans="1:20" x14ac:dyDescent="0.25">
      <c r="A141" s="8">
        <v>138</v>
      </c>
      <c r="B141" s="8">
        <v>20.3249</v>
      </c>
      <c r="C141" s="8">
        <v>84.528000000000006</v>
      </c>
      <c r="D141" s="3" t="s">
        <v>7</v>
      </c>
      <c r="E141" s="19" t="s">
        <v>93</v>
      </c>
      <c r="F141" s="3">
        <v>1422.0429999999999</v>
      </c>
      <c r="G141" s="11">
        <f>$F141*Daspalla_22!H141</f>
        <v>4807.9273829999993</v>
      </c>
      <c r="H141" s="11">
        <f>$F141*Daspalla_22!I141</f>
        <v>4565.6112557999995</v>
      </c>
      <c r="I141" s="11">
        <f>$F141*Daspalla_22!J141</f>
        <v>4284.0467417999998</v>
      </c>
      <c r="J141" s="11">
        <f>$F141*Daspalla_22!K141</f>
        <v>3992.6701310999997</v>
      </c>
      <c r="K141" s="11">
        <f>$F141*Daspalla_22!L141</f>
        <v>3652.2330369000001</v>
      </c>
      <c r="L141" s="11">
        <f>$F141*Daspalla_22!M141</f>
        <v>5332.6612499999992</v>
      </c>
      <c r="M141" s="11">
        <f>$F141*Daspalla_22!N141</f>
        <v>5332.6612499999992</v>
      </c>
      <c r="N141" s="11">
        <f>$F141*Daspalla_22!O141</f>
        <v>5332.6612499999992</v>
      </c>
      <c r="O141" s="11">
        <f>$F141*Daspalla_22!P141</f>
        <v>5332.6612499999992</v>
      </c>
      <c r="P141" s="11">
        <f>$F141*Daspalla_22!Q141</f>
        <v>5332.6612499999992</v>
      </c>
      <c r="Q141" s="11">
        <f>$F141*Daspalla_22!R141</f>
        <v>5150.4975416999996</v>
      </c>
      <c r="R141" s="11">
        <f>$F141*Daspalla_22!S141</f>
        <v>4988.8112525999995</v>
      </c>
      <c r="S141" s="8" t="s">
        <v>79</v>
      </c>
      <c r="T141" s="21">
        <v>407010304140102</v>
      </c>
    </row>
    <row r="142" spans="1:20" x14ac:dyDescent="0.25">
      <c r="A142" s="8">
        <v>139</v>
      </c>
      <c r="B142" s="8">
        <v>20.334800000000001</v>
      </c>
      <c r="C142" s="8">
        <v>84.551699999999997</v>
      </c>
      <c r="D142" s="3" t="s">
        <v>7</v>
      </c>
      <c r="E142" s="19" t="s">
        <v>93</v>
      </c>
      <c r="F142" s="3">
        <v>509.06799999999998</v>
      </c>
      <c r="G142" s="11">
        <f>$F142*Daspalla_22!H142</f>
        <v>1212.0909079999999</v>
      </c>
      <c r="H142" s="11">
        <f>$F142*Daspalla_22!I142</f>
        <v>1125.3457208</v>
      </c>
      <c r="I142" s="11">
        <f>$F142*Daspalla_22!J142</f>
        <v>1024.5502567999999</v>
      </c>
      <c r="J142" s="11">
        <f>$F142*Daspalla_22!K142</f>
        <v>920.24222359999987</v>
      </c>
      <c r="K142" s="11">
        <f>$F142*Daspalla_22!L142</f>
        <v>798.37134439999988</v>
      </c>
      <c r="L142" s="11">
        <f>$F142*Daspalla_22!M142</f>
        <v>1399.9369999999999</v>
      </c>
      <c r="M142" s="11">
        <f>$F142*Daspalla_22!N142</f>
        <v>1399.9369999999999</v>
      </c>
      <c r="N142" s="11">
        <f>$F142*Daspalla_22!O142</f>
        <v>1399.9369999999999</v>
      </c>
      <c r="O142" s="11">
        <f>$F142*Daspalla_22!P142</f>
        <v>1399.9369999999999</v>
      </c>
      <c r="P142" s="11">
        <f>$F142*Daspalla_22!Q142</f>
        <v>1399.9369999999999</v>
      </c>
      <c r="Q142" s="11">
        <f>$F142*Daspalla_22!R142</f>
        <v>1334.7253892000001</v>
      </c>
      <c r="R142" s="11">
        <f>$F142*Daspalla_22!S142</f>
        <v>1276.8443576</v>
      </c>
      <c r="S142" s="8" t="s">
        <v>90</v>
      </c>
      <c r="T142" s="21">
        <v>407010304140201</v>
      </c>
    </row>
    <row r="143" spans="1:20" x14ac:dyDescent="0.25">
      <c r="A143" s="8">
        <v>140</v>
      </c>
      <c r="B143" s="8">
        <v>20.3263</v>
      </c>
      <c r="C143" s="8">
        <v>84.636200000000002</v>
      </c>
      <c r="D143" s="3" t="s">
        <v>7</v>
      </c>
      <c r="E143" s="19" t="s">
        <v>93</v>
      </c>
      <c r="F143" s="3">
        <v>2118.75</v>
      </c>
      <c r="G143" s="11">
        <f>$F143*Daspalla_22!H143</f>
        <v>5044.7437499999996</v>
      </c>
      <c r="H143" s="11">
        <f>$F143*Daspalla_22!I143</f>
        <v>4683.7087499999998</v>
      </c>
      <c r="I143" s="11">
        <f>$F143*Daspalla_22!J143</f>
        <v>4264.19625</v>
      </c>
      <c r="J143" s="11">
        <f>$F143*Daspalla_22!K143</f>
        <v>3830.0643749999999</v>
      </c>
      <c r="K143" s="11">
        <f>$F143*Daspalla_22!L143</f>
        <v>3322.8356249999997</v>
      </c>
      <c r="L143" s="11">
        <f>$F143*Daspalla_22!M143</f>
        <v>5826.5625</v>
      </c>
      <c r="M143" s="11">
        <f>$F143*Daspalla_22!N143</f>
        <v>5826.5625</v>
      </c>
      <c r="N143" s="11">
        <f>$F143*Daspalla_22!O143</f>
        <v>5826.5625</v>
      </c>
      <c r="O143" s="11">
        <f>$F143*Daspalla_22!P143</f>
        <v>5826.5625</v>
      </c>
      <c r="P143" s="11">
        <f>$F143*Daspalla_22!Q143</f>
        <v>5826.5625</v>
      </c>
      <c r="Q143" s="11">
        <f>$F143*Daspalla_22!R143</f>
        <v>5555.1506250000002</v>
      </c>
      <c r="R143" s="11">
        <f>$F143*Daspalla_22!S143</f>
        <v>5314.2487499999997</v>
      </c>
      <c r="S143" s="8" t="s">
        <v>81</v>
      </c>
      <c r="T143" s="21">
        <v>407010304160201</v>
      </c>
    </row>
    <row r="144" spans="1:20" x14ac:dyDescent="0.25">
      <c r="A144" s="8">
        <v>141</v>
      </c>
      <c r="B144" s="8">
        <v>20.366900000000001</v>
      </c>
      <c r="C144" s="8">
        <v>84.553899999999999</v>
      </c>
      <c r="D144" s="3" t="s">
        <v>7</v>
      </c>
      <c r="E144" s="19" t="s">
        <v>93</v>
      </c>
      <c r="F144" s="3">
        <v>455.42200000000003</v>
      </c>
      <c r="G144" s="11">
        <f>$F144*Daspalla_22!H144</f>
        <v>628.93778200000008</v>
      </c>
      <c r="H144" s="11">
        <f>$F144*Daspalla_22!I144</f>
        <v>551.3338732000002</v>
      </c>
      <c r="I144" s="11">
        <f>$F144*Daspalla_22!J144</f>
        <v>461.16031720000018</v>
      </c>
      <c r="J144" s="11">
        <f>$F144*Daspalla_22!K144</f>
        <v>367.84434940000023</v>
      </c>
      <c r="K144" s="11">
        <f>$F144*Daspalla_22!L144</f>
        <v>258.81632260000021</v>
      </c>
      <c r="L144" s="11">
        <f>$F144*Daspalla_22!M144</f>
        <v>796.98850000000004</v>
      </c>
      <c r="M144" s="11">
        <f>$F144*Daspalla_22!N144</f>
        <v>796.98850000000004</v>
      </c>
      <c r="N144" s="11">
        <f>$F144*Daspalla_22!O144</f>
        <v>796.98850000000004</v>
      </c>
      <c r="O144" s="11">
        <f>$F144*Daspalla_22!P144</f>
        <v>796.98850000000004</v>
      </c>
      <c r="P144" s="11">
        <f>$F144*Daspalla_22!Q144</f>
        <v>796.98850000000004</v>
      </c>
      <c r="Q144" s="11">
        <f>$F144*Daspalla_22!R144</f>
        <v>738.6489418000001</v>
      </c>
      <c r="R144" s="11">
        <f>$F144*Daspalla_22!S144</f>
        <v>686.86746040000014</v>
      </c>
      <c r="S144" s="8" t="s">
        <v>85</v>
      </c>
      <c r="T144" s="21">
        <v>407010304140202</v>
      </c>
    </row>
    <row r="145" spans="1:20" x14ac:dyDescent="0.25">
      <c r="A145" s="8">
        <v>142</v>
      </c>
      <c r="B145" s="8">
        <v>20.3887</v>
      </c>
      <c r="C145" s="8">
        <v>84.667699999999996</v>
      </c>
      <c r="D145" s="3" t="s">
        <v>7</v>
      </c>
      <c r="E145" s="19" t="s">
        <v>93</v>
      </c>
      <c r="F145" s="3">
        <v>760.12</v>
      </c>
      <c r="G145" s="11">
        <f>$F145*Daspalla_22!H145</f>
        <v>1049.7257200000001</v>
      </c>
      <c r="H145" s="11">
        <f>$F145*Daspalla_22!I145</f>
        <v>920.20127200000024</v>
      </c>
      <c r="I145" s="11">
        <f>$F145*Daspalla_22!J145</f>
        <v>769.6975120000003</v>
      </c>
      <c r="J145" s="11">
        <f>$F145*Daspalla_22!K145</f>
        <v>613.94892400000037</v>
      </c>
      <c r="K145" s="11">
        <f>$F145*Daspalla_22!L145</f>
        <v>431.97619600000036</v>
      </c>
      <c r="L145" s="11">
        <f>$F145*Daspalla_22!M145</f>
        <v>1330.21</v>
      </c>
      <c r="M145" s="11">
        <f>$F145*Daspalla_22!N145</f>
        <v>1330.21</v>
      </c>
      <c r="N145" s="11">
        <f>$F145*Daspalla_22!O145</f>
        <v>1330.21</v>
      </c>
      <c r="O145" s="11">
        <f>$F145*Daspalla_22!P145</f>
        <v>1330.21</v>
      </c>
      <c r="P145" s="11">
        <f>$F145*Daspalla_22!Q145</f>
        <v>1330.21</v>
      </c>
      <c r="Q145" s="11">
        <f>$F145*Daspalla_22!R145</f>
        <v>1232.8386280000002</v>
      </c>
      <c r="R145" s="11">
        <f>$F145*Daspalla_22!S145</f>
        <v>1146.4129840000001</v>
      </c>
      <c r="S145" s="8" t="s">
        <v>82</v>
      </c>
      <c r="T145" s="21">
        <v>407010304130202</v>
      </c>
    </row>
    <row r="146" spans="1:20" x14ac:dyDescent="0.25">
      <c r="A146" s="8">
        <v>143</v>
      </c>
      <c r="B146" s="8">
        <v>20.3947</v>
      </c>
      <c r="C146" s="8">
        <v>84.678299999999993</v>
      </c>
      <c r="D146" s="3" t="s">
        <v>7</v>
      </c>
      <c r="E146" s="19" t="s">
        <v>93</v>
      </c>
      <c r="F146" s="3">
        <v>891.40899999999999</v>
      </c>
      <c r="G146" s="11">
        <f>$F146*Daspalla_22!H146</f>
        <v>2122.4448289999996</v>
      </c>
      <c r="H146" s="11">
        <f>$F146*Daspalla_22!I146</f>
        <v>1970.5487353999999</v>
      </c>
      <c r="I146" s="11">
        <f>$F146*Daspalla_22!J146</f>
        <v>1794.0497533999999</v>
      </c>
      <c r="J146" s="11">
        <f>$F146*Daspalla_22!K146</f>
        <v>1611.4000492999999</v>
      </c>
      <c r="K146" s="11">
        <f>$F146*Daspalla_22!L146</f>
        <v>1397.9967346999997</v>
      </c>
      <c r="L146" s="11">
        <f>$F146*Daspalla_22!M146</f>
        <v>2451.3747499999999</v>
      </c>
      <c r="M146" s="11">
        <f>$F146*Daspalla_22!N146</f>
        <v>2451.3747499999999</v>
      </c>
      <c r="N146" s="11">
        <f>$F146*Daspalla_22!O146</f>
        <v>2451.3747499999999</v>
      </c>
      <c r="O146" s="11">
        <f>$F146*Daspalla_22!P146</f>
        <v>2451.3747499999999</v>
      </c>
      <c r="P146" s="11">
        <f>$F146*Daspalla_22!Q146</f>
        <v>2451.3747499999999</v>
      </c>
      <c r="Q146" s="11">
        <f>$F146*Daspalla_22!R146</f>
        <v>2337.1852570999999</v>
      </c>
      <c r="R146" s="11">
        <f>$F146*Daspalla_22!S146</f>
        <v>2235.8320537999998</v>
      </c>
      <c r="S146" s="8" t="s">
        <v>82</v>
      </c>
      <c r="T146" s="21">
        <v>407010304130202</v>
      </c>
    </row>
    <row r="147" spans="1:20" x14ac:dyDescent="0.25">
      <c r="A147" s="8">
        <v>144</v>
      </c>
      <c r="B147" s="8">
        <v>20.327100000000002</v>
      </c>
      <c r="C147" s="8">
        <v>84.523700000000005</v>
      </c>
      <c r="D147" s="3" t="s">
        <v>7</v>
      </c>
      <c r="E147" s="19" t="s">
        <v>93</v>
      </c>
      <c r="F147" s="3">
        <v>511.39600000000002</v>
      </c>
      <c r="G147" s="11">
        <f>$F147*Daspalla_22!H147</f>
        <v>706.23787600000014</v>
      </c>
      <c r="H147" s="11">
        <f>$F147*Daspalla_22!I147</f>
        <v>619.09599760000015</v>
      </c>
      <c r="I147" s="11">
        <f>$F147*Daspalla_22!J147</f>
        <v>517.83958960000018</v>
      </c>
      <c r="J147" s="11">
        <f>$F147*Daspalla_22!K147</f>
        <v>413.05454920000022</v>
      </c>
      <c r="K147" s="11">
        <f>$F147*Daspalla_22!L147</f>
        <v>290.62634680000025</v>
      </c>
      <c r="L147" s="11">
        <f>$F147*Daspalla_22!M147</f>
        <v>894.94299999999998</v>
      </c>
      <c r="M147" s="11">
        <f>$F147*Daspalla_22!N147</f>
        <v>894.94299999999998</v>
      </c>
      <c r="N147" s="11">
        <f>$F147*Daspalla_22!O147</f>
        <v>894.94299999999998</v>
      </c>
      <c r="O147" s="11">
        <f>$F147*Daspalla_22!P147</f>
        <v>894.94299999999998</v>
      </c>
      <c r="P147" s="11">
        <f>$F147*Daspalla_22!Q147</f>
        <v>894.94299999999998</v>
      </c>
      <c r="Q147" s="11">
        <f>$F147*Daspalla_22!R147</f>
        <v>829.4331724000001</v>
      </c>
      <c r="R147" s="11">
        <f>$F147*Daspalla_22!S147</f>
        <v>771.28744720000009</v>
      </c>
      <c r="S147" s="8" t="s">
        <v>79</v>
      </c>
      <c r="T147" s="21">
        <v>407010304140102</v>
      </c>
    </row>
    <row r="148" spans="1:20" x14ac:dyDescent="0.25">
      <c r="A148" s="8">
        <v>145</v>
      </c>
      <c r="B148" s="8">
        <v>20.326000000000001</v>
      </c>
      <c r="C148" s="8">
        <v>84.523899999999998</v>
      </c>
      <c r="D148" s="3" t="s">
        <v>7</v>
      </c>
      <c r="E148" s="19" t="s">
        <v>93</v>
      </c>
      <c r="F148" s="3">
        <v>317.54199999999997</v>
      </c>
      <c r="G148" s="11">
        <f>$F148*Daspalla_22!H148</f>
        <v>438.52550200000002</v>
      </c>
      <c r="H148" s="11">
        <f>$F148*Daspalla_22!I148</f>
        <v>384.41634520000008</v>
      </c>
      <c r="I148" s="11">
        <f>$F148*Daspalla_22!J148</f>
        <v>321.54302920000009</v>
      </c>
      <c r="J148" s="11">
        <f>$F148*Daspalla_22!K148</f>
        <v>256.4786734000001</v>
      </c>
      <c r="K148" s="11">
        <f>$F148*Daspalla_22!L148</f>
        <v>180.45911860000012</v>
      </c>
      <c r="L148" s="11">
        <f>$F148*Daspalla_22!M148</f>
        <v>555.69849999999997</v>
      </c>
      <c r="M148" s="11">
        <f>$F148*Daspalla_22!N148</f>
        <v>555.69849999999997</v>
      </c>
      <c r="N148" s="11">
        <f>$F148*Daspalla_22!O148</f>
        <v>555.69849999999997</v>
      </c>
      <c r="O148" s="11">
        <f>$F148*Daspalla_22!P148</f>
        <v>555.69849999999997</v>
      </c>
      <c r="P148" s="11">
        <f>$F148*Daspalla_22!Q148</f>
        <v>555.69849999999997</v>
      </c>
      <c r="Q148" s="11">
        <f>$F148*Daspalla_22!R148</f>
        <v>515.0213698</v>
      </c>
      <c r="R148" s="11">
        <f>$F148*Daspalla_22!S148</f>
        <v>478.9168444</v>
      </c>
      <c r="S148" s="8" t="s">
        <v>79</v>
      </c>
      <c r="T148" s="21">
        <v>407010304140102</v>
      </c>
    </row>
    <row r="149" spans="1:20" x14ac:dyDescent="0.25">
      <c r="A149" s="8">
        <v>146</v>
      </c>
      <c r="B149" s="8">
        <v>20.325600000000001</v>
      </c>
      <c r="C149" s="8">
        <v>84.523799999999994</v>
      </c>
      <c r="D149" s="3" t="s">
        <v>7</v>
      </c>
      <c r="E149" s="19" t="s">
        <v>93</v>
      </c>
      <c r="F149" s="3">
        <v>412.05200000000002</v>
      </c>
      <c r="G149" s="11">
        <f>$F149*Daspalla_22!H149</f>
        <v>569.04381200000012</v>
      </c>
      <c r="H149" s="11">
        <f>$F149*Daspalla_22!I149</f>
        <v>498.83015120000016</v>
      </c>
      <c r="I149" s="11">
        <f>$F149*Daspalla_22!J149</f>
        <v>417.24385520000016</v>
      </c>
      <c r="J149" s="11">
        <f>$F149*Daspalla_22!K149</f>
        <v>332.81440040000018</v>
      </c>
      <c r="K149" s="11">
        <f>$F149*Daspalla_22!L149</f>
        <v>234.16915160000022</v>
      </c>
      <c r="L149" s="11">
        <f>$F149*Daspalla_22!M149</f>
        <v>721.09100000000001</v>
      </c>
      <c r="M149" s="11">
        <f>$F149*Daspalla_22!N149</f>
        <v>721.09100000000001</v>
      </c>
      <c r="N149" s="11">
        <f>$F149*Daspalla_22!O149</f>
        <v>721.09100000000001</v>
      </c>
      <c r="O149" s="11">
        <f>$F149*Daspalla_22!P149</f>
        <v>721.09100000000001</v>
      </c>
      <c r="P149" s="11">
        <f>$F149*Daspalla_22!Q149</f>
        <v>721.09100000000001</v>
      </c>
      <c r="Q149" s="11">
        <f>$F149*Daspalla_22!R149</f>
        <v>668.30713880000008</v>
      </c>
      <c r="R149" s="11">
        <f>$F149*Daspalla_22!S149</f>
        <v>621.45682640000007</v>
      </c>
      <c r="S149" s="8" t="s">
        <v>79</v>
      </c>
      <c r="T149" s="21">
        <v>407010304140102</v>
      </c>
    </row>
    <row r="150" spans="1:20" x14ac:dyDescent="0.25">
      <c r="A150" s="8">
        <v>147</v>
      </c>
      <c r="B150" s="8">
        <v>20.325299999999999</v>
      </c>
      <c r="C150" s="8">
        <v>84.524000000000001</v>
      </c>
      <c r="D150" s="3" t="s">
        <v>7</v>
      </c>
      <c r="E150" s="19" t="s">
        <v>93</v>
      </c>
      <c r="F150" s="3">
        <v>415.37799999999999</v>
      </c>
      <c r="G150" s="11">
        <f>$F150*Daspalla_22!H150</f>
        <v>573.63701800000013</v>
      </c>
      <c r="H150" s="11">
        <f>$F150*Daspalla_22!I150</f>
        <v>502.85660680000012</v>
      </c>
      <c r="I150" s="11">
        <f>$F150*Daspalla_22!J150</f>
        <v>420.61176280000012</v>
      </c>
      <c r="J150" s="11">
        <f>$F150*Daspalla_22!K150</f>
        <v>335.50081060000014</v>
      </c>
      <c r="K150" s="11">
        <f>$F150*Daspalla_22!L150</f>
        <v>236.0593174000002</v>
      </c>
      <c r="L150" s="11">
        <f>$F150*Daspalla_22!M150</f>
        <v>726.91149999999993</v>
      </c>
      <c r="M150" s="11">
        <f>$F150*Daspalla_22!N150</f>
        <v>726.91149999999993</v>
      </c>
      <c r="N150" s="11">
        <f>$F150*Daspalla_22!O150</f>
        <v>726.91149999999993</v>
      </c>
      <c r="O150" s="11">
        <f>$F150*Daspalla_22!P150</f>
        <v>726.91149999999993</v>
      </c>
      <c r="P150" s="11">
        <f>$F150*Daspalla_22!Q150</f>
        <v>726.91149999999993</v>
      </c>
      <c r="Q150" s="11">
        <f>$F150*Daspalla_22!R150</f>
        <v>673.70157819999997</v>
      </c>
      <c r="R150" s="11">
        <f>$F150*Daspalla_22!S150</f>
        <v>626.47309960000007</v>
      </c>
      <c r="S150" s="8" t="s">
        <v>79</v>
      </c>
      <c r="T150" s="21">
        <v>407010304140102</v>
      </c>
    </row>
    <row r="151" spans="1:20" x14ac:dyDescent="0.25">
      <c r="A151" s="8">
        <v>148</v>
      </c>
      <c r="B151" s="8">
        <v>20.3246</v>
      </c>
      <c r="C151" s="8">
        <v>84.523200000000003</v>
      </c>
      <c r="D151" s="3" t="s">
        <v>7</v>
      </c>
      <c r="E151" s="19" t="s">
        <v>93</v>
      </c>
      <c r="F151" s="3">
        <v>595.21400000000006</v>
      </c>
      <c r="G151" s="11">
        <f>$F151*Daspalla_22!H151</f>
        <v>821.99053400000025</v>
      </c>
      <c r="H151" s="11">
        <f>$F151*Daspalla_22!I151</f>
        <v>720.56606840000029</v>
      </c>
      <c r="I151" s="11">
        <f>$F151*Daspalla_22!J151</f>
        <v>602.71369640000023</v>
      </c>
      <c r="J151" s="11">
        <f>$F151*Daspalla_22!K151</f>
        <v>480.75434780000029</v>
      </c>
      <c r="K151" s="11">
        <f>$F151*Daspalla_22!L151</f>
        <v>338.26011620000031</v>
      </c>
      <c r="L151" s="11">
        <f>$F151*Daspalla_22!M151</f>
        <v>1041.6245000000001</v>
      </c>
      <c r="M151" s="11">
        <f>$F151*Daspalla_22!N151</f>
        <v>1041.6245000000001</v>
      </c>
      <c r="N151" s="11">
        <f>$F151*Daspalla_22!O151</f>
        <v>1041.6245000000001</v>
      </c>
      <c r="O151" s="11">
        <f>$F151*Daspalla_22!P151</f>
        <v>1041.6245000000001</v>
      </c>
      <c r="P151" s="11">
        <f>$F151*Daspalla_22!Q151</f>
        <v>1041.6245000000001</v>
      </c>
      <c r="Q151" s="11">
        <f>$F151*Daspalla_22!R151</f>
        <v>965.3775866000002</v>
      </c>
      <c r="R151" s="11">
        <f>$F151*Daspalla_22!S151</f>
        <v>897.70175480000023</v>
      </c>
      <c r="S151" s="8" t="s">
        <v>79</v>
      </c>
      <c r="T151" s="21">
        <v>407010304140102</v>
      </c>
    </row>
    <row r="152" spans="1:20" x14ac:dyDescent="0.25">
      <c r="A152" s="8">
        <v>149</v>
      </c>
      <c r="B152" s="8">
        <v>20.324300000000001</v>
      </c>
      <c r="C152" s="8">
        <v>84.526399999999995</v>
      </c>
      <c r="D152" s="3" t="s">
        <v>7</v>
      </c>
      <c r="E152" s="19" t="s">
        <v>93</v>
      </c>
      <c r="F152" s="3">
        <v>410.12400000000002</v>
      </c>
      <c r="G152" s="11">
        <f>$F152*Daspalla_22!H152</f>
        <v>976.50524399999995</v>
      </c>
      <c r="H152" s="11">
        <f>$F152*Daspalla_22!I152</f>
        <v>906.62011440000003</v>
      </c>
      <c r="I152" s="11">
        <f>$F152*Daspalla_22!J152</f>
        <v>825.4155624</v>
      </c>
      <c r="J152" s="11">
        <f>$F152*Daspalla_22!K152</f>
        <v>741.38115479999999</v>
      </c>
      <c r="K152" s="11">
        <f>$F152*Daspalla_22!L152</f>
        <v>643.1974692</v>
      </c>
      <c r="L152" s="11">
        <f>$F152*Daspalla_22!M152</f>
        <v>1127.8410000000001</v>
      </c>
      <c r="M152" s="11">
        <f>$F152*Daspalla_22!N152</f>
        <v>1127.8410000000001</v>
      </c>
      <c r="N152" s="11">
        <f>$F152*Daspalla_22!O152</f>
        <v>1127.8410000000001</v>
      </c>
      <c r="O152" s="11">
        <f>$F152*Daspalla_22!P152</f>
        <v>1127.8410000000001</v>
      </c>
      <c r="P152" s="11">
        <f>$F152*Daspalla_22!Q152</f>
        <v>1127.8410000000001</v>
      </c>
      <c r="Q152" s="11">
        <f>$F152*Daspalla_22!R152</f>
        <v>1075.3041156000002</v>
      </c>
      <c r="R152" s="11">
        <f>$F152*Daspalla_22!S152</f>
        <v>1028.6730168000001</v>
      </c>
      <c r="S152" s="8" t="s">
        <v>79</v>
      </c>
      <c r="T152" s="21">
        <v>407010304140102</v>
      </c>
    </row>
    <row r="153" spans="1:20" x14ac:dyDescent="0.25">
      <c r="A153" s="8">
        <v>150</v>
      </c>
      <c r="B153" s="8">
        <v>20.336400000000001</v>
      </c>
      <c r="C153" s="8">
        <v>84.520700000000005</v>
      </c>
      <c r="D153" s="3" t="s">
        <v>7</v>
      </c>
      <c r="E153" s="19" t="s">
        <v>93</v>
      </c>
      <c r="F153" s="3">
        <v>357.75599999999997</v>
      </c>
      <c r="G153" s="11">
        <f>$F153*Daspalla_22!H153</f>
        <v>494.06103600000006</v>
      </c>
      <c r="H153" s="11">
        <f>$F153*Daspalla_22!I153</f>
        <v>433.0994136000001</v>
      </c>
      <c r="I153" s="11">
        <f>$F153*Daspalla_22!J153</f>
        <v>362.2637256000001</v>
      </c>
      <c r="J153" s="11">
        <f>$F153*Daspalla_22!K153</f>
        <v>288.95952120000015</v>
      </c>
      <c r="K153" s="11">
        <f>$F153*Daspalla_22!L153</f>
        <v>203.31273480000016</v>
      </c>
      <c r="L153" s="11">
        <f>$F153*Daspalla_22!M153</f>
        <v>626.07299999999998</v>
      </c>
      <c r="M153" s="11">
        <f>$F153*Daspalla_22!N153</f>
        <v>626.07299999999998</v>
      </c>
      <c r="N153" s="11">
        <f>$F153*Daspalla_22!O153</f>
        <v>626.07299999999998</v>
      </c>
      <c r="O153" s="11">
        <f>$F153*Daspalla_22!P153</f>
        <v>626.07299999999998</v>
      </c>
      <c r="P153" s="11">
        <f>$F153*Daspalla_22!Q153</f>
        <v>626.07299999999998</v>
      </c>
      <c r="Q153" s="11">
        <f>$F153*Daspalla_22!R153</f>
        <v>580.24445639999999</v>
      </c>
      <c r="R153" s="11">
        <f>$F153*Daspalla_22!S153</f>
        <v>539.56759920000002</v>
      </c>
      <c r="S153" s="8" t="s">
        <v>79</v>
      </c>
      <c r="T153" s="21">
        <v>407010304140102</v>
      </c>
    </row>
    <row r="154" spans="1:20" x14ac:dyDescent="0.25">
      <c r="A154" s="8">
        <v>151</v>
      </c>
      <c r="B154" s="8">
        <v>20.363800000000001</v>
      </c>
      <c r="C154" s="8">
        <v>84.5197</v>
      </c>
      <c r="D154" s="3" t="s">
        <v>7</v>
      </c>
      <c r="E154" s="19" t="s">
        <v>93</v>
      </c>
      <c r="F154" s="3">
        <v>403.05700000000002</v>
      </c>
      <c r="G154" s="11">
        <f>$F154*Daspalla_22!H154</f>
        <v>556.6217170000001</v>
      </c>
      <c r="H154" s="11">
        <f>$F154*Daspalla_22!I154</f>
        <v>487.94080420000017</v>
      </c>
      <c r="I154" s="11">
        <f>$F154*Daspalla_22!J154</f>
        <v>408.13551820000015</v>
      </c>
      <c r="J154" s="11">
        <f>$F154*Daspalla_22!K154</f>
        <v>325.54913890000017</v>
      </c>
      <c r="K154" s="11">
        <f>$F154*Daspalla_22!L154</f>
        <v>229.05729310000021</v>
      </c>
      <c r="L154" s="11">
        <f>$F154*Daspalla_22!M154</f>
        <v>705.34975000000009</v>
      </c>
      <c r="M154" s="11">
        <f>$F154*Daspalla_22!N154</f>
        <v>705.34975000000009</v>
      </c>
      <c r="N154" s="11">
        <f>$F154*Daspalla_22!O154</f>
        <v>705.34975000000009</v>
      </c>
      <c r="O154" s="11">
        <f>$F154*Daspalla_22!P154</f>
        <v>705.34975000000009</v>
      </c>
      <c r="P154" s="11">
        <f>$F154*Daspalla_22!Q154</f>
        <v>705.34975000000009</v>
      </c>
      <c r="Q154" s="11">
        <f>$F154*Daspalla_22!R154</f>
        <v>653.71814830000005</v>
      </c>
      <c r="R154" s="11">
        <f>$F154*Daspalla_22!S154</f>
        <v>607.89056740000012</v>
      </c>
      <c r="S154" s="8" t="s">
        <v>77</v>
      </c>
      <c r="T154" s="21">
        <v>407010304080204</v>
      </c>
    </row>
    <row r="155" spans="1:20" x14ac:dyDescent="0.25">
      <c r="A155" s="8">
        <v>152</v>
      </c>
      <c r="B155" s="8">
        <v>20.352900000000002</v>
      </c>
      <c r="C155" s="8">
        <v>84.537800000000004</v>
      </c>
      <c r="D155" s="3" t="s">
        <v>7</v>
      </c>
      <c r="E155" s="19" t="s">
        <v>93</v>
      </c>
      <c r="F155" s="3">
        <v>573.87800000000004</v>
      </c>
      <c r="G155" s="11">
        <f>$F155*Daspalla_22!H155</f>
        <v>1366.4035180000001</v>
      </c>
      <c r="H155" s="11">
        <f>$F155*Daspalla_22!I155</f>
        <v>1268.6147068</v>
      </c>
      <c r="I155" s="11">
        <f>$F155*Daspalla_22!J155</f>
        <v>1154.9868628000002</v>
      </c>
      <c r="J155" s="11">
        <f>$F155*Daspalla_22!K155</f>
        <v>1037.3992605999999</v>
      </c>
      <c r="K155" s="11">
        <f>$F155*Daspalla_22!L155</f>
        <v>900.0128674</v>
      </c>
      <c r="L155" s="11">
        <f>$F155*Daspalla_22!M155</f>
        <v>1578.1645000000001</v>
      </c>
      <c r="M155" s="11">
        <f>$F155*Daspalla_22!N155</f>
        <v>1578.1645000000001</v>
      </c>
      <c r="N155" s="11">
        <f>$F155*Daspalla_22!O155</f>
        <v>1578.1645000000001</v>
      </c>
      <c r="O155" s="11">
        <f>$F155*Daspalla_22!P155</f>
        <v>1578.1645000000001</v>
      </c>
      <c r="P155" s="11">
        <f>$F155*Daspalla_22!Q155</f>
        <v>1578.1645000000001</v>
      </c>
      <c r="Q155" s="11">
        <f>$F155*Daspalla_22!R155</f>
        <v>1504.6507282000002</v>
      </c>
      <c r="R155" s="11">
        <f>$F155*Daspalla_22!S155</f>
        <v>1439.4007996</v>
      </c>
      <c r="S155" s="8" t="s">
        <v>88</v>
      </c>
      <c r="T155" s="21">
        <v>407010304140104</v>
      </c>
    </row>
    <row r="156" spans="1:20" x14ac:dyDescent="0.25">
      <c r="A156" s="8">
        <v>153</v>
      </c>
      <c r="B156" s="8">
        <v>20.352599999999999</v>
      </c>
      <c r="C156" s="8">
        <v>84.5381</v>
      </c>
      <c r="D156" s="3" t="s">
        <v>7</v>
      </c>
      <c r="E156" s="19" t="s">
        <v>93</v>
      </c>
      <c r="F156" s="3">
        <v>1318.6079999999999</v>
      </c>
      <c r="G156" s="11">
        <f>$F156*Daspalla_22!H156</f>
        <v>3139.6056479999997</v>
      </c>
      <c r="H156" s="11">
        <f>$F156*Daspalla_22!I156</f>
        <v>2914.9148447999996</v>
      </c>
      <c r="I156" s="11">
        <f>$F156*Daspalla_22!J156</f>
        <v>2653.8304607999999</v>
      </c>
      <c r="J156" s="11">
        <f>$F156*Daspalla_22!K156</f>
        <v>2383.6476815999999</v>
      </c>
      <c r="K156" s="11">
        <f>$F156*Daspalla_22!L156</f>
        <v>2067.9729263999998</v>
      </c>
      <c r="L156" s="11">
        <f>$F156*Daspalla_22!M156</f>
        <v>3626.172</v>
      </c>
      <c r="M156" s="11">
        <f>$F156*Daspalla_22!N156</f>
        <v>3626.172</v>
      </c>
      <c r="N156" s="11">
        <f>$F156*Daspalla_22!O156</f>
        <v>3626.172</v>
      </c>
      <c r="O156" s="11">
        <f>$F156*Daspalla_22!P156</f>
        <v>3626.172</v>
      </c>
      <c r="P156" s="11">
        <f>$F156*Daspalla_22!Q156</f>
        <v>3626.172</v>
      </c>
      <c r="Q156" s="11">
        <f>$F156*Daspalla_22!R156</f>
        <v>3457.2583152000002</v>
      </c>
      <c r="R156" s="11">
        <f>$F156*Daspalla_22!S156</f>
        <v>3307.3325855999997</v>
      </c>
      <c r="S156" s="8" t="s">
        <v>88</v>
      </c>
      <c r="T156" s="21">
        <v>407010304140104</v>
      </c>
    </row>
    <row r="157" spans="1:20" x14ac:dyDescent="0.25">
      <c r="A157" s="8">
        <v>154</v>
      </c>
      <c r="B157" s="8">
        <v>20.357199999999999</v>
      </c>
      <c r="C157" s="8">
        <v>84.538200000000003</v>
      </c>
      <c r="D157" s="3" t="s">
        <v>7</v>
      </c>
      <c r="E157" s="19" t="s">
        <v>93</v>
      </c>
      <c r="F157" s="3">
        <v>3704.7020000000002</v>
      </c>
      <c r="G157" s="11">
        <f>$F157*Daspalla_22!H157</f>
        <v>12525.597462</v>
      </c>
      <c r="H157" s="11">
        <f>$F157*Daspalla_22!I157</f>
        <v>11894.3162412</v>
      </c>
      <c r="I157" s="11">
        <f>$F157*Daspalla_22!J157</f>
        <v>11160.785245200001</v>
      </c>
      <c r="J157" s="11">
        <f>$F157*Daspalla_22!K157</f>
        <v>10401.691805400002</v>
      </c>
      <c r="K157" s="11">
        <f>$F157*Daspalla_22!L157</f>
        <v>9514.7861466000013</v>
      </c>
      <c r="L157" s="11">
        <f>$F157*Daspalla_22!M157</f>
        <v>13892.632500000002</v>
      </c>
      <c r="M157" s="11">
        <f>$F157*Daspalla_22!N157</f>
        <v>13892.632500000002</v>
      </c>
      <c r="N157" s="11">
        <f>$F157*Daspalla_22!O157</f>
        <v>13892.632500000002</v>
      </c>
      <c r="O157" s="11">
        <f>$F157*Daspalla_22!P157</f>
        <v>13892.632500000002</v>
      </c>
      <c r="P157" s="11">
        <f>$F157*Daspalla_22!Q157</f>
        <v>13892.632500000002</v>
      </c>
      <c r="Q157" s="11">
        <f>$F157*Daspalla_22!R157</f>
        <v>13418.0601738</v>
      </c>
      <c r="R157" s="11">
        <f>$F157*Daspalla_22!S157</f>
        <v>12996.835556400001</v>
      </c>
      <c r="S157" s="8" t="s">
        <v>88</v>
      </c>
      <c r="T157" s="21">
        <v>407010304140104</v>
      </c>
    </row>
    <row r="158" spans="1:20" x14ac:dyDescent="0.25">
      <c r="A158" s="15">
        <v>155</v>
      </c>
      <c r="B158" s="8">
        <v>20.320509999999999</v>
      </c>
      <c r="C158" s="8">
        <v>84.52834</v>
      </c>
      <c r="D158" s="8" t="s">
        <v>94</v>
      </c>
      <c r="E158" s="8" t="s">
        <v>42</v>
      </c>
      <c r="F158" s="11">
        <v>873.08920000000001</v>
      </c>
      <c r="G158" s="11">
        <f>$F158*Daspalla_22!H158</f>
        <v>1642.2807852000001</v>
      </c>
      <c r="H158" s="11">
        <f>$F158*Daspalla_22!I158</f>
        <v>1493.5063855200001</v>
      </c>
      <c r="I158" s="11">
        <f>$F158*Daspalla_22!J158</f>
        <v>1320.6347239200002</v>
      </c>
      <c r="J158" s="11">
        <f>$F158*Daspalla_22!K158</f>
        <v>1141.73874684</v>
      </c>
      <c r="K158" s="11">
        <f>$F158*Daspalla_22!L158</f>
        <v>932.72119236000003</v>
      </c>
      <c r="L158" s="11">
        <f>$F158*Daspalla_22!M158</f>
        <v>1964.4507000000001</v>
      </c>
      <c r="M158" s="11">
        <f>$F158*Daspalla_22!N158</f>
        <v>1964.4507000000001</v>
      </c>
      <c r="N158" s="11">
        <f>$F158*Daspalla_22!O158</f>
        <v>1964.4507000000001</v>
      </c>
      <c r="O158" s="11">
        <f>$F158*Daspalla_22!P158</f>
        <v>1964.4507000000001</v>
      </c>
      <c r="P158" s="11">
        <f>$F158*Daspalla_22!Q158</f>
        <v>1964.4507000000001</v>
      </c>
      <c r="Q158" s="11">
        <f>$F158*Daspalla_22!R158</f>
        <v>1852.6079734800001</v>
      </c>
      <c r="R158" s="11">
        <f>$F158*Daspalla_22!S158</f>
        <v>1753.33773144</v>
      </c>
      <c r="S158" s="8" t="s">
        <v>79</v>
      </c>
      <c r="T158" s="21">
        <v>407010304140102</v>
      </c>
    </row>
    <row r="159" spans="1:20" x14ac:dyDescent="0.25">
      <c r="A159" s="15">
        <v>156</v>
      </c>
      <c r="B159" s="8">
        <v>20.36382</v>
      </c>
      <c r="C159" s="8">
        <v>84.504480000000001</v>
      </c>
      <c r="D159" s="8" t="s">
        <v>94</v>
      </c>
      <c r="E159" s="8" t="s">
        <v>45</v>
      </c>
      <c r="F159" s="11">
        <v>1406.2539999999999</v>
      </c>
      <c r="G159" s="11">
        <f>$F159*Daspalla_22!H159</f>
        <v>3348.2907739999996</v>
      </c>
      <c r="H159" s="11">
        <f>$F159*Daspalla_22!I159</f>
        <v>3108.6650923999996</v>
      </c>
      <c r="I159" s="11">
        <f>$F159*Daspalla_22!J159</f>
        <v>2830.2268003999998</v>
      </c>
      <c r="J159" s="11">
        <f>$F159*Daspalla_22!K159</f>
        <v>2542.0853557999994</v>
      </c>
      <c r="K159" s="11">
        <f>$F159*Daspalla_22!L159</f>
        <v>2205.4281481999997</v>
      </c>
      <c r="L159" s="11">
        <f>$F159*Daspalla_22!M159</f>
        <v>3867.1984999999995</v>
      </c>
      <c r="M159" s="11">
        <f>$F159*Daspalla_22!N159</f>
        <v>3867.1984999999995</v>
      </c>
      <c r="N159" s="11">
        <f>$F159*Daspalla_22!O159</f>
        <v>3867.1984999999995</v>
      </c>
      <c r="O159" s="11">
        <f>$F159*Daspalla_22!P159</f>
        <v>3867.1984999999995</v>
      </c>
      <c r="P159" s="11">
        <f>$F159*Daspalla_22!Q159</f>
        <v>3867.1984999999995</v>
      </c>
      <c r="Q159" s="11">
        <f>$F159*Daspalla_22!R159</f>
        <v>3687.0573626</v>
      </c>
      <c r="R159" s="11">
        <f>$F159*Daspalla_22!S159</f>
        <v>3527.1662827999999</v>
      </c>
      <c r="S159" s="8" t="s">
        <v>77</v>
      </c>
      <c r="T159" s="21">
        <v>407010304080204</v>
      </c>
    </row>
    <row r="160" spans="1:20" x14ac:dyDescent="0.25">
      <c r="A160" s="15">
        <v>157</v>
      </c>
      <c r="B160" s="8">
        <v>20.365359999999999</v>
      </c>
      <c r="C160" s="8">
        <v>84.50094</v>
      </c>
      <c r="D160" s="8" t="s">
        <v>94</v>
      </c>
      <c r="E160" s="8" t="s">
        <v>75</v>
      </c>
      <c r="F160" s="11">
        <v>2073.71</v>
      </c>
      <c r="G160" s="11">
        <f>$F160*Daspalla_22!H160</f>
        <v>2863.7935100000004</v>
      </c>
      <c r="H160" s="11">
        <f>$F160*Daspalla_22!I160</f>
        <v>2510.4333260000008</v>
      </c>
      <c r="I160" s="11">
        <f>$F160*Daspalla_22!J160</f>
        <v>2099.8387460000008</v>
      </c>
      <c r="J160" s="11">
        <f>$F160*Daspalla_22!K160</f>
        <v>1674.9355670000009</v>
      </c>
      <c r="K160" s="11">
        <f>$F160*Daspalla_22!L160</f>
        <v>1178.489393000001</v>
      </c>
      <c r="L160" s="11">
        <f>$F160*Daspalla_22!M160</f>
        <v>3628.9925000000003</v>
      </c>
      <c r="M160" s="11">
        <f>$F160*Daspalla_22!N160</f>
        <v>3628.9925000000003</v>
      </c>
      <c r="N160" s="11">
        <f>$F160*Daspalla_22!O160</f>
        <v>3628.9925000000003</v>
      </c>
      <c r="O160" s="11">
        <f>$F160*Daspalla_22!P160</f>
        <v>3628.9925000000003</v>
      </c>
      <c r="P160" s="11">
        <f>$F160*Daspalla_22!Q160</f>
        <v>3628.9925000000003</v>
      </c>
      <c r="Q160" s="11">
        <f>$F160*Daspalla_22!R160</f>
        <v>3363.3502490000005</v>
      </c>
      <c r="R160" s="11">
        <f>$F160*Daspalla_22!S160</f>
        <v>3127.5694220000005</v>
      </c>
      <c r="S160" s="8" t="s">
        <v>77</v>
      </c>
      <c r="T160" s="21">
        <v>407010304080204</v>
      </c>
    </row>
    <row r="161" spans="1:20" x14ac:dyDescent="0.25">
      <c r="A161" s="15">
        <v>158</v>
      </c>
      <c r="B161" s="8">
        <v>20.395879999999998</v>
      </c>
      <c r="C161" s="8">
        <v>84.662610000000001</v>
      </c>
      <c r="D161" s="8" t="s">
        <v>94</v>
      </c>
      <c r="E161" s="8" t="s">
        <v>47</v>
      </c>
      <c r="F161" s="11">
        <v>762.02110000000005</v>
      </c>
      <c r="G161" s="11">
        <f>$F161*Daspalla_22!H161</f>
        <v>1052.3511391000002</v>
      </c>
      <c r="H161" s="11">
        <f>$F161*Daspalla_22!I161</f>
        <v>922.50274366000031</v>
      </c>
      <c r="I161" s="11">
        <f>$F161*Daspalla_22!J161</f>
        <v>771.62256586000035</v>
      </c>
      <c r="J161" s="11">
        <f>$F161*Daspalla_22!K161</f>
        <v>615.48444247000032</v>
      </c>
      <c r="K161" s="11">
        <f>$F161*Daspalla_22!L161</f>
        <v>433.05659113000041</v>
      </c>
      <c r="L161" s="11">
        <f>$F161*Daspalla_22!M161</f>
        <v>1333.5369250000001</v>
      </c>
      <c r="M161" s="11">
        <f>$F161*Daspalla_22!N161</f>
        <v>1333.5369250000001</v>
      </c>
      <c r="N161" s="11">
        <f>$F161*Daspalla_22!O161</f>
        <v>1333.5369250000001</v>
      </c>
      <c r="O161" s="11">
        <f>$F161*Daspalla_22!P161</f>
        <v>1333.5369250000001</v>
      </c>
      <c r="P161" s="11">
        <f>$F161*Daspalla_22!Q161</f>
        <v>1333.5369250000001</v>
      </c>
      <c r="Q161" s="11">
        <f>$F161*Daspalla_22!R161</f>
        <v>1235.9220220900002</v>
      </c>
      <c r="R161" s="11">
        <f>$F161*Daspalla_22!S161</f>
        <v>1149.2802230200002</v>
      </c>
      <c r="S161" s="8" t="s">
        <v>76</v>
      </c>
      <c r="T161" s="21">
        <v>407010304130201</v>
      </c>
    </row>
    <row r="162" spans="1:20" x14ac:dyDescent="0.25">
      <c r="A162" s="15">
        <v>159</v>
      </c>
      <c r="B162" s="8">
        <v>20.334150000000001</v>
      </c>
      <c r="C162" s="8">
        <v>84.505870000000002</v>
      </c>
      <c r="D162" s="8" t="s">
        <v>94</v>
      </c>
      <c r="E162" s="8" t="s">
        <v>44</v>
      </c>
      <c r="F162" s="11">
        <v>619.21420000000001</v>
      </c>
      <c r="G162" s="11">
        <f>$F162*Daspalla_22!H162</f>
        <v>1164.7419102000001</v>
      </c>
      <c r="H162" s="11">
        <f>$F162*Daspalla_22!I162</f>
        <v>1059.22781052</v>
      </c>
      <c r="I162" s="11">
        <f>$F162*Daspalla_22!J162</f>
        <v>936.62339892000011</v>
      </c>
      <c r="J162" s="11">
        <f>$F162*Daspalla_22!K162</f>
        <v>809.74640934000001</v>
      </c>
      <c r="K162" s="11">
        <f>$F162*Daspalla_22!L162</f>
        <v>661.50652986</v>
      </c>
      <c r="L162" s="11">
        <f>$F162*Daspalla_22!M162</f>
        <v>1393.2319500000001</v>
      </c>
      <c r="M162" s="11">
        <f>$F162*Daspalla_22!N162</f>
        <v>1393.2319500000001</v>
      </c>
      <c r="N162" s="11">
        <f>$F162*Daspalla_22!O162</f>
        <v>1393.2319500000001</v>
      </c>
      <c r="O162" s="11">
        <f>$F162*Daspalla_22!P162</f>
        <v>1393.2319500000001</v>
      </c>
      <c r="P162" s="11">
        <f>$F162*Daspalla_22!Q162</f>
        <v>1393.2319500000001</v>
      </c>
      <c r="Q162" s="11">
        <f>$F162*Daspalla_22!R162</f>
        <v>1313.91061098</v>
      </c>
      <c r="R162" s="11">
        <f>$F162*Daspalla_22!S162</f>
        <v>1243.5059564400001</v>
      </c>
      <c r="S162" s="8" t="s">
        <v>78</v>
      </c>
      <c r="T162" s="21">
        <v>407010304070203</v>
      </c>
    </row>
    <row r="163" spans="1:20" x14ac:dyDescent="0.25">
      <c r="A163" s="15">
        <v>160</v>
      </c>
      <c r="B163" s="8">
        <v>20.343530000000001</v>
      </c>
      <c r="C163" s="8">
        <v>84.490290000000002</v>
      </c>
      <c r="D163" s="8" t="s">
        <v>94</v>
      </c>
      <c r="E163" s="8" t="s">
        <v>43</v>
      </c>
      <c r="F163" s="11">
        <v>324.28530000000001</v>
      </c>
      <c r="G163" s="11">
        <f>$F163*Daspalla_22!H163</f>
        <v>447.83799930000009</v>
      </c>
      <c r="H163" s="11">
        <f>$F163*Daspalla_22!I163</f>
        <v>392.5797841800001</v>
      </c>
      <c r="I163" s="11">
        <f>$F163*Daspalla_22!J163</f>
        <v>328.37129478000014</v>
      </c>
      <c r="J163" s="11">
        <f>$F163*Daspalla_22!K163</f>
        <v>261.92523681000011</v>
      </c>
      <c r="K163" s="11">
        <f>$F163*Daspalla_22!L163</f>
        <v>184.29133599000016</v>
      </c>
      <c r="L163" s="11">
        <f>$F163*Daspalla_22!M163</f>
        <v>567.49927500000001</v>
      </c>
      <c r="M163" s="11">
        <f>$F163*Daspalla_22!N163</f>
        <v>567.49927500000001</v>
      </c>
      <c r="N163" s="11">
        <f>$F163*Daspalla_22!O163</f>
        <v>567.49927500000001</v>
      </c>
      <c r="O163" s="11">
        <f>$F163*Daspalla_22!P163</f>
        <v>567.49927500000001</v>
      </c>
      <c r="P163" s="11">
        <f>$F163*Daspalla_22!Q163</f>
        <v>567.49927500000001</v>
      </c>
      <c r="Q163" s="11">
        <f>$F163*Daspalla_22!R163</f>
        <v>525.95832806999999</v>
      </c>
      <c r="R163" s="11">
        <f>$F163*Daspalla_22!S163</f>
        <v>489.08708946000007</v>
      </c>
      <c r="S163" s="8" t="s">
        <v>78</v>
      </c>
      <c r="T163" s="21">
        <v>407010304070203</v>
      </c>
    </row>
    <row r="164" spans="1:20" x14ac:dyDescent="0.25">
      <c r="A164" s="15">
        <v>161</v>
      </c>
      <c r="B164" s="8">
        <v>20.408390000000001</v>
      </c>
      <c r="C164" s="8">
        <v>84.656959999999998</v>
      </c>
      <c r="D164" s="8" t="s">
        <v>94</v>
      </c>
      <c r="E164" s="8" t="s">
        <v>46</v>
      </c>
      <c r="F164" s="11">
        <v>281.42689999999999</v>
      </c>
      <c r="G164" s="11">
        <f>$F164*Daspalla_22!H164</f>
        <v>529.36399889999996</v>
      </c>
      <c r="H164" s="11">
        <f>$F164*Daspalla_22!I164</f>
        <v>481.40885514000001</v>
      </c>
      <c r="I164" s="11">
        <f>$F164*Daspalla_22!J164</f>
        <v>425.68632894000001</v>
      </c>
      <c r="J164" s="11">
        <f>$F164*Daspalla_22!K164</f>
        <v>368.02195713000003</v>
      </c>
      <c r="K164" s="11">
        <f>$F164*Daspalla_22!L164</f>
        <v>300.64835727000002</v>
      </c>
      <c r="L164" s="11">
        <f>$F164*Daspalla_22!M164</f>
        <v>633.21052499999996</v>
      </c>
      <c r="M164" s="11">
        <f>$F164*Daspalla_22!N164</f>
        <v>633.21052499999996</v>
      </c>
      <c r="N164" s="11">
        <f>$F164*Daspalla_22!O164</f>
        <v>633.21052499999996</v>
      </c>
      <c r="O164" s="11">
        <f>$F164*Daspalla_22!P164</f>
        <v>633.21052499999996</v>
      </c>
      <c r="P164" s="11">
        <f>$F164*Daspalla_22!Q164</f>
        <v>633.21052499999996</v>
      </c>
      <c r="Q164" s="11">
        <f>$F164*Daspalla_22!R164</f>
        <v>597.15973911000003</v>
      </c>
      <c r="R164" s="11">
        <f>$F164*Daspalla_22!S164</f>
        <v>565.16150057999994</v>
      </c>
      <c r="S164" s="8" t="s">
        <v>76</v>
      </c>
      <c r="T164" s="21">
        <v>407010304130201</v>
      </c>
    </row>
    <row r="167" spans="1:20" x14ac:dyDescent="0.25">
      <c r="G167" s="22" t="s">
        <v>14</v>
      </c>
      <c r="H167" s="22" t="s">
        <v>15</v>
      </c>
      <c r="I167" s="22" t="s">
        <v>16</v>
      </c>
      <c r="J167" s="22" t="s">
        <v>17</v>
      </c>
      <c r="K167" s="22" t="s">
        <v>18</v>
      </c>
      <c r="L167" s="22" t="s">
        <v>19</v>
      </c>
      <c r="M167" s="22" t="s">
        <v>20</v>
      </c>
      <c r="N167" s="22" t="s">
        <v>21</v>
      </c>
      <c r="O167" s="22" t="s">
        <v>22</v>
      </c>
      <c r="P167" s="22" t="s">
        <v>23</v>
      </c>
      <c r="Q167" s="22" t="s">
        <v>24</v>
      </c>
      <c r="R167" s="23" t="s">
        <v>25</v>
      </c>
      <c r="S167" s="24"/>
      <c r="T167" s="25"/>
    </row>
    <row r="168" spans="1:20" x14ac:dyDescent="0.25">
      <c r="D168" s="8" t="s">
        <v>7</v>
      </c>
      <c r="E168" s="8"/>
      <c r="F168" s="11"/>
      <c r="G168" s="11">
        <f>SUM(G3:G157)</f>
        <v>720329.93559100013</v>
      </c>
      <c r="H168" s="11">
        <f t="shared" ref="H168:R168" si="0">SUM(H3:H157)</f>
        <v>669578.18515659973</v>
      </c>
      <c r="I168" s="11">
        <f t="shared" si="0"/>
        <v>610606.08077860053</v>
      </c>
      <c r="J168" s="11">
        <f t="shared" si="0"/>
        <v>549578.88791470032</v>
      </c>
      <c r="K168" s="11">
        <f t="shared" si="0"/>
        <v>478276.25262130034</v>
      </c>
      <c r="L168" s="11">
        <f t="shared" si="0"/>
        <v>830232.49374999979</v>
      </c>
      <c r="M168" s="11">
        <f t="shared" si="0"/>
        <v>830232.49374999979</v>
      </c>
      <c r="N168" s="11">
        <f t="shared" si="0"/>
        <v>830232.49374999979</v>
      </c>
      <c r="O168" s="11">
        <f t="shared" si="0"/>
        <v>830232.49374999979</v>
      </c>
      <c r="P168" s="11">
        <f t="shared" si="0"/>
        <v>830232.49374999979</v>
      </c>
      <c r="Q168" s="11">
        <f t="shared" si="0"/>
        <v>792079.32925090007</v>
      </c>
      <c r="R168" s="11">
        <f t="shared" si="0"/>
        <v>758215.04507020046</v>
      </c>
      <c r="S168" s="16">
        <f>SUM(G168:R168)</f>
        <v>8729826.1851333007</v>
      </c>
      <c r="T168" s="21"/>
    </row>
    <row r="169" spans="1:20" x14ac:dyDescent="0.25">
      <c r="D169" s="15" t="s">
        <v>48</v>
      </c>
      <c r="E169" s="15"/>
      <c r="F169" s="11"/>
      <c r="G169" s="11">
        <f>SUM(G158:G164)</f>
        <v>11048.660116700001</v>
      </c>
      <c r="H169" s="11">
        <f t="shared" ref="H169:R169" si="1">SUM(H158:H164)</f>
        <v>9968.3239974199987</v>
      </c>
      <c r="I169" s="11">
        <f t="shared" si="1"/>
        <v>8713.0038588200023</v>
      </c>
      <c r="J169" s="11">
        <f t="shared" si="1"/>
        <v>7413.9377153900004</v>
      </c>
      <c r="K169" s="11">
        <f t="shared" si="1"/>
        <v>5896.1415478100007</v>
      </c>
      <c r="L169" s="11">
        <f t="shared" si="1"/>
        <v>13388.120375</v>
      </c>
      <c r="M169" s="11">
        <f t="shared" si="1"/>
        <v>13388.120375</v>
      </c>
      <c r="N169" s="11">
        <f t="shared" si="1"/>
        <v>13388.120375</v>
      </c>
      <c r="O169" s="11">
        <f t="shared" si="1"/>
        <v>13388.120375</v>
      </c>
      <c r="P169" s="11">
        <f t="shared" si="1"/>
        <v>13388.120375</v>
      </c>
      <c r="Q169" s="11">
        <f t="shared" si="1"/>
        <v>12575.966285330001</v>
      </c>
      <c r="R169" s="11">
        <f t="shared" si="1"/>
        <v>11855.108205739998</v>
      </c>
      <c r="S169" s="16">
        <f>SUM(G169:R169)</f>
        <v>134411.74360220999</v>
      </c>
      <c r="T169" s="21"/>
    </row>
    <row r="170" spans="1:20" x14ac:dyDescent="0.25">
      <c r="F170" s="17"/>
      <c r="G170" s="17">
        <f t="shared" ref="G170:R170" si="2">SUM(G168:G169)</f>
        <v>731378.59570770012</v>
      </c>
      <c r="H170" s="17">
        <f t="shared" si="2"/>
        <v>679546.50915401976</v>
      </c>
      <c r="I170" s="17">
        <f t="shared" si="2"/>
        <v>619319.08463742048</v>
      </c>
      <c r="J170" s="17">
        <f t="shared" si="2"/>
        <v>556992.82563009032</v>
      </c>
      <c r="K170" s="17">
        <f t="shared" si="2"/>
        <v>484172.39416911034</v>
      </c>
      <c r="L170" s="17">
        <f t="shared" si="2"/>
        <v>843620.61412499985</v>
      </c>
      <c r="M170" s="17">
        <f t="shared" si="2"/>
        <v>843620.61412499985</v>
      </c>
      <c r="N170" s="17">
        <f t="shared" si="2"/>
        <v>843620.61412499985</v>
      </c>
      <c r="O170" s="17">
        <f t="shared" si="2"/>
        <v>843620.61412499985</v>
      </c>
      <c r="P170" s="17">
        <f t="shared" si="2"/>
        <v>843620.61412499985</v>
      </c>
      <c r="Q170" s="17">
        <f t="shared" si="2"/>
        <v>804655.29553623009</v>
      </c>
      <c r="R170" s="17">
        <f t="shared" si="2"/>
        <v>770070.15327594045</v>
      </c>
      <c r="T170" s="20"/>
    </row>
    <row r="171" spans="1:20" x14ac:dyDescent="0.25">
      <c r="D171" s="8" t="s">
        <v>7</v>
      </c>
      <c r="E171" s="8"/>
      <c r="F171" s="8">
        <v>154</v>
      </c>
      <c r="T171" s="20"/>
    </row>
    <row r="172" spans="1:20" x14ac:dyDescent="0.25">
      <c r="D172" s="15" t="s">
        <v>48</v>
      </c>
      <c r="E172" s="15"/>
      <c r="F172" s="8">
        <v>7</v>
      </c>
      <c r="T172" s="20"/>
    </row>
  </sheetData>
  <mergeCells count="9">
    <mergeCell ref="G1:R1"/>
    <mergeCell ref="S1:S2"/>
    <mergeCell ref="T1:T2"/>
    <mergeCell ref="E1:E2"/>
    <mergeCell ref="A1:A2"/>
    <mergeCell ref="B1:B2"/>
    <mergeCell ref="C1:C2"/>
    <mergeCell ref="D1:D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Odogaon</vt:lpstr>
      <vt:lpstr>Odogaon_22</vt:lpstr>
      <vt:lpstr>Odogaon_33</vt:lpstr>
      <vt:lpstr>Daspalla</vt:lpstr>
      <vt:lpstr>Daspalla_22</vt:lpstr>
      <vt:lpstr>Daspalla_33</vt:lpstr>
    </vt:vector>
  </TitlesOfParts>
  <Company>kamt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2026-06-24T09:28:58Z</dcterms:created>
  <dcterms:modified xsi:type="dcterms:W3CDTF">2026-07-22T05:25:15Z</dcterms:modified>
</cp:coreProperties>
</file>